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P&amp;L помесячный" sheetId="2" state="visible" r:id="rId2"/>
    <sheet name="Unit-экономика" sheetId="3" state="visible" r:id="rId3"/>
    <sheet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&quot;x&quot;"/>
  </numFmts>
  <fonts count="9">
    <font>
      <name val="Calibri"/>
      <family val="2"/>
      <color theme="1"/>
      <sz val="11"/>
      <scheme val="minor"/>
    </font>
    <font>
      <name val="Arial"/>
      <b val="1"/>
      <color rgb="008B6914"/>
      <sz val="14"/>
    </font>
    <font>
      <name val="Arial"/>
      <color rgb="00888888"/>
      <sz val="10"/>
    </font>
    <font>
      <name val="Arial"/>
      <b val="1"/>
      <color rgb="00333333"/>
      <sz val="12"/>
    </font>
    <font>
      <name val="Arial"/>
      <color rgb="000000FF"/>
      <sz val="11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8000"/>
      <sz val="11"/>
    </font>
  </fonts>
  <fills count="6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8B691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5" fillId="0" borderId="0" pivotButton="0" quotePrefix="0" xfId="0"/>
    <xf numFmtId="3" fontId="4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3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pivotButton="0" quotePrefix="0" xfId="0"/>
    <xf numFmtId="3" fontId="7" fillId="0" borderId="1" applyAlignment="1" pivotButton="0" quotePrefix="0" xfId="0">
      <alignment horizontal="right" vertical="center"/>
    </xf>
    <xf numFmtId="0" fontId="7" fillId="5" borderId="1" pivotButton="0" quotePrefix="0" xfId="0"/>
    <xf numFmtId="3" fontId="7" fillId="5" borderId="1" applyAlignment="1" pivotButton="0" quotePrefix="0" xfId="0">
      <alignment horizontal="right" vertical="center"/>
    </xf>
    <xf numFmtId="0" fontId="6" fillId="4" borderId="1" pivotButton="0" quotePrefix="0" xfId="0"/>
    <xf numFmtId="164" fontId="8" fillId="0" borderId="1" pivotButton="0" quotePrefix="0" xfId="0"/>
    <xf numFmtId="0" fontId="2" fillId="0" borderId="1" pivotButton="0" quotePrefix="0" xfId="0"/>
    <xf numFmtId="3" fontId="8" fillId="0" borderId="1" pivotButton="0" quotePrefix="0" xfId="0"/>
    <xf numFmtId="165" fontId="8" fillId="0" borderId="1" pivotButton="0" quotePrefix="0" xfId="0"/>
    <xf numFmtId="166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</cols>
  <sheetData>
    <row r="1">
      <c r="A1" s="1" t="inlineStr">
        <is>
          <t>ЕВА — Финансовая модель</t>
        </is>
      </c>
    </row>
    <row r="2">
      <c r="A2" s="2" t="inlineStr">
        <is>
          <t>Входные параметры (изменяйте синие ячейки)</t>
        </is>
      </c>
    </row>
    <row r="4">
      <c r="A4" t="inlineStr"/>
      <c r="B4" t="inlineStr"/>
      <c r="C4" s="2" t="inlineStr"/>
    </row>
    <row r="5">
      <c r="A5" s="3" t="inlineStr">
        <is>
          <t>ИНВЕСТИЦИИ И СРОКИ</t>
        </is>
      </c>
      <c r="B5" s="4" t="inlineStr"/>
      <c r="C5" s="5" t="inlineStr"/>
    </row>
    <row r="6">
      <c r="A6" s="6" t="inlineStr">
        <is>
          <t>Объём инвестиций, RUB</t>
        </is>
      </c>
      <c r="B6" s="7" t="n">
        <v>5000000</v>
      </c>
      <c r="C6" s="2" t="inlineStr">
        <is>
          <t>Общий бюджет</t>
        </is>
      </c>
    </row>
    <row r="7">
      <c r="A7" s="6" t="inlineStr">
        <is>
          <t>Горизонт модели, мес</t>
        </is>
      </c>
      <c r="B7" s="7" t="n">
        <v>24</v>
      </c>
      <c r="C7" s="2" t="inlineStr"/>
    </row>
    <row r="8">
      <c r="A8" t="inlineStr"/>
      <c r="B8" t="inlineStr"/>
      <c r="C8" s="2" t="inlineStr"/>
    </row>
    <row r="9">
      <c r="A9" s="3" t="inlineStr">
        <is>
          <t>ЦЕНООБРАЗОВАНИЕ</t>
        </is>
      </c>
      <c r="B9" s="4" t="inlineStr"/>
      <c r="C9" s="5" t="inlineStr"/>
    </row>
    <row r="10">
      <c r="A10" s="6" t="inlineStr">
        <is>
          <t>Цена EVA+ месяц, RUB</t>
        </is>
      </c>
      <c r="B10" s="7" t="n">
        <v>1990</v>
      </c>
      <c r="C10" s="2" t="inlineStr">
        <is>
          <t>Основной тариф</t>
        </is>
      </c>
    </row>
    <row r="11">
      <c r="A11" s="6" t="inlineStr">
        <is>
          <t>Цена EVA+ год, RUB</t>
        </is>
      </c>
      <c r="B11" s="7" t="n">
        <v>9990</v>
      </c>
      <c r="C11" s="2" t="inlineStr">
        <is>
          <t>Годовая подписка</t>
        </is>
      </c>
    </row>
    <row r="12">
      <c r="A12" s="6" t="inlineStr">
        <is>
          <t>Доля годовых подписок, %</t>
        </is>
      </c>
      <c r="B12" s="7" t="n">
        <v>30</v>
      </c>
      <c r="C12" s="2" t="inlineStr">
        <is>
          <t>% на годовом тарифе</t>
        </is>
      </c>
    </row>
    <row r="13">
      <c r="A13" t="inlineStr"/>
      <c r="B13" t="inlineStr"/>
      <c r="C13" s="2" t="inlineStr"/>
    </row>
    <row r="14">
      <c r="A14" s="3" t="inlineStr">
        <is>
          <t>ПРИВЛЕЧЕНИЕ</t>
        </is>
      </c>
      <c r="B14" s="4" t="inlineStr"/>
      <c r="C14" s="5" t="inlineStr"/>
    </row>
    <row r="15">
      <c r="A15" s="6" t="inlineStr">
        <is>
          <t>CAC, RUB</t>
        </is>
      </c>
      <c r="B15" s="7" t="n">
        <v>120</v>
      </c>
      <c r="C15" s="2" t="inlineStr">
        <is>
          <t>Средний по каналам</t>
        </is>
      </c>
    </row>
    <row r="16">
      <c r="A16" s="6" t="inlineStr">
        <is>
          <t>Органический трафик, %</t>
        </is>
      </c>
      <c r="B16" s="7" t="n">
        <v>40</v>
      </c>
      <c r="C16" s="2" t="inlineStr">
        <is>
          <t>Telegram, ASO, реферальная</t>
        </is>
      </c>
    </row>
    <row r="17">
      <c r="A17" s="6" t="inlineStr">
        <is>
          <t>Новые пользователи мес 1</t>
        </is>
      </c>
      <c r="B17" s="7" t="n">
        <v>200</v>
      </c>
      <c r="C17" s="2" t="inlineStr">
        <is>
          <t>Старт</t>
        </is>
      </c>
    </row>
    <row r="18">
      <c r="A18" s="6" t="inlineStr">
        <is>
          <t>Рост новых / мес, %</t>
        </is>
      </c>
      <c r="B18" s="7" t="n">
        <v>15</v>
      </c>
      <c r="C18" s="2" t="inlineStr">
        <is>
          <t>Месячный рост привлечения</t>
        </is>
      </c>
    </row>
    <row r="19">
      <c r="A19" s="6" t="inlineStr">
        <is>
          <t>Макс. новых / мес</t>
        </is>
      </c>
      <c r="B19" s="7" t="n">
        <v>5000</v>
      </c>
      <c r="C19" s="2" t="inlineStr">
        <is>
          <t>Потолок</t>
        </is>
      </c>
    </row>
    <row r="20">
      <c r="A20" t="inlineStr"/>
      <c r="B20" t="inlineStr"/>
      <c r="C20" s="2" t="inlineStr"/>
    </row>
    <row r="21">
      <c r="A21" s="3" t="inlineStr">
        <is>
          <t>КОНВЕРСИЯ И УДЕРЖАНИЕ</t>
        </is>
      </c>
      <c r="B21" s="4" t="inlineStr"/>
      <c r="C21" s="5" t="inlineStr"/>
    </row>
    <row r="22">
      <c r="A22" s="6" t="inlineStr">
        <is>
          <t>Конверсия Free - EVA+, %</t>
        </is>
      </c>
      <c r="B22" s="7" t="n">
        <v>5</v>
      </c>
      <c r="C22" s="2" t="inlineStr">
        <is>
          <t>Бенчмарк: 3-8%</t>
        </is>
      </c>
    </row>
    <row r="23">
      <c r="A23" s="6" t="inlineStr">
        <is>
          <t>Churn EVA+ месячный, %</t>
        </is>
      </c>
      <c r="B23" s="7" t="n">
        <v>8</v>
      </c>
      <c r="C23" s="2" t="inlineStr">
        <is>
          <t>Бенчмарк: 6-12%</t>
        </is>
      </c>
    </row>
    <row r="24">
      <c r="A24" t="inlineStr"/>
      <c r="B24" t="inlineStr"/>
      <c r="C24" s="2" t="inlineStr"/>
    </row>
    <row r="25">
      <c r="A25" s="3" t="inlineStr">
        <is>
          <t>ИНВЕСТИЦИИ — РАСПРЕДЕЛЕНИЕ</t>
        </is>
      </c>
      <c r="B25" s="4" t="inlineStr"/>
      <c r="C25" s="5" t="inlineStr"/>
    </row>
    <row r="26">
      <c r="A26" s="6" t="inlineStr">
        <is>
          <t>3D-моделирование + дизайн</t>
        </is>
      </c>
      <c r="B26" s="7" t="n">
        <v>1500000</v>
      </c>
      <c r="C26" s="2" t="inlineStr">
        <is>
          <t>30 состояний мира</t>
        </is>
      </c>
    </row>
    <row r="27">
      <c r="A27" s="6" t="inlineStr">
        <is>
          <t>Мобильная разработка</t>
        </is>
      </c>
      <c r="B27" s="7" t="n">
        <v>1350000</v>
      </c>
      <c r="C27" s="2" t="inlineStr">
        <is>
          <t>React Native iOS+Android</t>
        </is>
      </c>
    </row>
    <row r="28">
      <c r="A28" s="6" t="inlineStr">
        <is>
          <t>Миграция на РФ-хостинг</t>
        </is>
      </c>
      <c r="B28" s="7" t="n">
        <v>592000</v>
      </c>
      <c r="C28" s="2" t="inlineStr">
        <is>
          <t>Workers-Node.js, Auth, DB</t>
        </is>
      </c>
    </row>
    <row r="29">
      <c r="A29" s="6" t="inlineStr">
        <is>
          <t>Маркетинг (из инвестиций)</t>
        </is>
      </c>
      <c r="B29" s="7" t="n">
        <v>810000</v>
      </c>
      <c r="C29" s="2" t="inlineStr">
        <is>
          <t>ASO, таргет, influencers</t>
        </is>
      </c>
    </row>
    <row r="30">
      <c r="A30" s="6" t="inlineStr">
        <is>
          <t>Резерв</t>
        </is>
      </c>
      <c r="B30" s="7" t="n">
        <v>298000</v>
      </c>
      <c r="C30" s="2" t="inlineStr">
        <is>
          <t>Непредвиденные</t>
        </is>
      </c>
    </row>
    <row r="31">
      <c r="A31" t="inlineStr"/>
      <c r="B31" t="inlineStr"/>
      <c r="C31" s="2" t="inlineStr"/>
    </row>
    <row r="32">
      <c r="A32" s="3" t="inlineStr">
        <is>
          <t>ОПЕРАЦИОННЫЕ РАСХОДЫ</t>
        </is>
      </c>
      <c r="B32" s="4" t="inlineStr"/>
      <c r="C32" s="5" t="inlineStr"/>
    </row>
    <row r="33">
      <c r="A33" s="6" t="inlineStr">
        <is>
          <t>Разработка мес 1-6</t>
        </is>
      </c>
      <c r="B33" s="7" t="n">
        <v>200000</v>
      </c>
      <c r="C33" s="2" t="inlineStr">
        <is>
          <t>RUB/мес</t>
        </is>
      </c>
    </row>
    <row r="34">
      <c r="A34" s="6" t="inlineStr">
        <is>
          <t>Разработка мес 7-12</t>
        </is>
      </c>
      <c r="B34" s="7" t="n">
        <v>120000</v>
      </c>
      <c r="C34" s="2" t="inlineStr"/>
    </row>
    <row r="35">
      <c r="A35" s="6" t="inlineStr">
        <is>
          <t>Разработка мес 13+</t>
        </is>
      </c>
      <c r="B35" s="7" t="n">
        <v>100000</v>
      </c>
      <c r="C35" s="2" t="inlineStr"/>
    </row>
    <row r="36">
      <c r="A36" s="6" t="inlineStr">
        <is>
          <t>Маркетинг мес 1-6</t>
        </is>
      </c>
      <c r="B36" s="7" t="n">
        <v>120000</v>
      </c>
      <c r="C36" s="2" t="inlineStr"/>
    </row>
    <row r="37">
      <c r="A37" s="6" t="inlineStr">
        <is>
          <t>Маркетинг мес 7-12</t>
        </is>
      </c>
      <c r="B37" s="7" t="n">
        <v>150000</v>
      </c>
      <c r="C37" s="2" t="inlineStr"/>
    </row>
    <row r="38">
      <c r="A38" s="6" t="inlineStr">
        <is>
          <t>Маркетинг мес 13+</t>
        </is>
      </c>
      <c r="B38" s="7" t="n">
        <v>180000</v>
      </c>
      <c r="C38" s="2" t="inlineStr"/>
    </row>
    <row r="39">
      <c r="A39" s="6" t="inlineStr">
        <is>
          <t>Инфраструктура РФ мес 1-6</t>
        </is>
      </c>
      <c r="B39" s="7" t="n">
        <v>8000</v>
      </c>
      <c r="C39" s="2" t="inlineStr">
        <is>
          <t>VPS+PG+S3+CDN</t>
        </is>
      </c>
    </row>
    <row r="40">
      <c r="A40" s="6" t="inlineStr">
        <is>
          <t>Инфраструктура РФ мес 7-12</t>
        </is>
      </c>
      <c r="B40" s="7" t="n">
        <v>19500</v>
      </c>
      <c r="C40" s="2" t="inlineStr"/>
    </row>
    <row r="41">
      <c r="A41" s="6" t="inlineStr">
        <is>
          <t>Инфраструктура РФ мес 13+</t>
        </is>
      </c>
      <c r="B41" s="7" t="n">
        <v>35000</v>
      </c>
      <c r="C41" s="2" t="inlineStr"/>
    </row>
    <row r="42">
      <c r="A42" s="6" t="inlineStr">
        <is>
          <t>Контент мес 1-6</t>
        </is>
      </c>
      <c r="B42" s="7" t="n">
        <v>50000</v>
      </c>
      <c r="C42" s="2" t="inlineStr">
        <is>
          <t>Психолог, копирайт</t>
        </is>
      </c>
    </row>
    <row r="43">
      <c r="A43" s="6" t="inlineStr">
        <is>
          <t>Контент мес 7-12</t>
        </is>
      </c>
      <c r="B43" s="7" t="n">
        <v>30000</v>
      </c>
      <c r="C43" s="2" t="inlineStr"/>
    </row>
    <row r="44">
      <c r="A44" s="6" t="inlineStr">
        <is>
          <t>Контент мес 13+</t>
        </is>
      </c>
      <c r="B44" s="7" t="n">
        <v>20000</v>
      </c>
      <c r="C44" s="2" t="inlineStr"/>
    </row>
    <row r="45">
      <c r="A45" s="6" t="inlineStr">
        <is>
          <t>App Store комиссия, %</t>
        </is>
      </c>
      <c r="B45" s="7" t="n">
        <v>30</v>
      </c>
      <c r="C45" s="2" t="inlineStr"/>
    </row>
    <row r="46">
      <c r="A46" s="6" t="inlineStr">
        <is>
          <t>Доля iOS-подписок, %</t>
        </is>
      </c>
      <c r="B46" s="7" t="n">
        <v>40</v>
      </c>
      <c r="C46" s="2" t="inlineStr"/>
    </row>
    <row r="47">
      <c r="A47" s="6" t="inlineStr">
        <is>
          <t>Telegram-бот доработка/мес</t>
        </is>
      </c>
      <c r="B47" s="7" t="n">
        <v>15000</v>
      </c>
      <c r="C47" s="2" t="inlineStr">
        <is>
          <t>С месяца 3</t>
        </is>
      </c>
    </row>
    <row r="48">
      <c r="A48" t="inlineStr"/>
      <c r="B48" t="inlineStr"/>
      <c r="C48" s="2" t="inlineStr"/>
    </row>
    <row r="49">
      <c r="A49" s="3" t="inlineStr">
        <is>
          <t>ПЕРСПЕКТИВЫ РАЗВИТИЯ</t>
        </is>
      </c>
      <c r="B49" s="4" t="inlineStr"/>
      <c r="C49" s="5" t="inlineStr"/>
    </row>
    <row r="50">
      <c r="A50" s="6" t="inlineStr">
        <is>
          <t>Доп. сценарии — старт мес</t>
        </is>
      </c>
      <c r="B50" s="7" t="n">
        <v>6</v>
      </c>
      <c r="C50" s="2" t="inlineStr"/>
    </row>
    <row r="51">
      <c r="A51" s="6" t="inlineStr">
        <is>
          <t>Доп. сценарии — выручка/мес</t>
        </is>
      </c>
      <c r="B51" s="7" t="n">
        <v>50000</v>
      </c>
      <c r="C51" s="2" t="inlineStr">
        <is>
          <t>Контент-паки</t>
        </is>
      </c>
    </row>
    <row r="52">
      <c r="A52" s="6" t="inlineStr">
        <is>
          <t>Персональные маршруты — старт</t>
        </is>
      </c>
      <c r="B52" s="7" t="n">
        <v>9</v>
      </c>
      <c r="C52" s="2" t="inlineStr"/>
    </row>
    <row r="53">
      <c r="A53" s="6" t="inlineStr">
        <is>
          <t>Персональные маршруты — выр/мес</t>
        </is>
      </c>
      <c r="B53" s="7" t="n">
        <v>80000</v>
      </c>
      <c r="C53" s="2" t="inlineStr"/>
    </row>
    <row r="54">
      <c r="A54" s="6" t="inlineStr">
        <is>
          <t>Партнёрская экосистема — старт</t>
        </is>
      </c>
      <c r="B54" s="7" t="n">
        <v>6</v>
      </c>
      <c r="C54" s="2" t="inlineStr"/>
    </row>
    <row r="55">
      <c r="A55" s="6" t="inlineStr">
        <is>
          <t>Партнёрская экосистема — выр/мес</t>
        </is>
      </c>
      <c r="B55" s="7" t="n">
        <v>30000</v>
      </c>
      <c r="C55" s="2" t="inlineStr">
        <is>
          <t>Комиссия от психологов</t>
        </is>
      </c>
    </row>
    <row r="56">
      <c r="A56" s="6" t="inlineStr">
        <is>
          <t>ИИ-помощник — старт мес</t>
        </is>
      </c>
      <c r="B56" s="7" t="n">
        <v>12</v>
      </c>
      <c r="C56" s="2" t="inlineStr"/>
    </row>
    <row r="57">
      <c r="A57" s="6" t="inlineStr">
        <is>
          <t>ИИ-помощник — выручка/мес</t>
        </is>
      </c>
      <c r="B57" s="7" t="n">
        <v>100000</v>
      </c>
      <c r="C57" s="2" t="inlineStr">
        <is>
          <t>Отдельная подписка</t>
        </is>
      </c>
    </row>
    <row r="58">
      <c r="A58" s="6" t="inlineStr">
        <is>
          <t>Сообщества — старт мес</t>
        </is>
      </c>
      <c r="B58" s="7" t="n">
        <v>12</v>
      </c>
      <c r="C58" s="2" t="inlineStr"/>
    </row>
    <row r="59">
      <c r="A59" s="6" t="inlineStr">
        <is>
          <t>Сообщества — выручка/мес</t>
        </is>
      </c>
      <c r="B59" s="7" t="n">
        <v>40000</v>
      </c>
      <c r="C59" s="2" t="inlineStr">
        <is>
          <t>Платные группы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P&amp;L помесячный (24 месяца)</t>
        </is>
      </c>
    </row>
    <row r="3">
      <c r="A3" s="8" t="inlineStr">
        <is>
          <t>Показатель</t>
        </is>
      </c>
      <c r="B3" s="8" t="inlineStr">
        <is>
          <t>Мес 1</t>
        </is>
      </c>
      <c r="C3" s="8" t="inlineStr">
        <is>
          <t>Мес 2</t>
        </is>
      </c>
      <c r="D3" s="8" t="inlineStr">
        <is>
          <t>Мес 3</t>
        </is>
      </c>
      <c r="E3" s="8" t="inlineStr">
        <is>
          <t>Мес 4</t>
        </is>
      </c>
      <c r="F3" s="8" t="inlineStr">
        <is>
          <t>Мес 5</t>
        </is>
      </c>
      <c r="G3" s="8" t="inlineStr">
        <is>
          <t>Мес 6</t>
        </is>
      </c>
      <c r="H3" s="8" t="inlineStr">
        <is>
          <t>Мес 7</t>
        </is>
      </c>
      <c r="I3" s="8" t="inlineStr">
        <is>
          <t>Мес 8</t>
        </is>
      </c>
      <c r="J3" s="8" t="inlineStr">
        <is>
          <t>Мес 9</t>
        </is>
      </c>
      <c r="K3" s="8" t="inlineStr">
        <is>
          <t>Мес 10</t>
        </is>
      </c>
      <c r="L3" s="8" t="inlineStr">
        <is>
          <t>Мес 11</t>
        </is>
      </c>
      <c r="M3" s="8" t="inlineStr">
        <is>
          <t>Мес 12</t>
        </is>
      </c>
      <c r="N3" s="8" t="inlineStr">
        <is>
          <t>Мес 13</t>
        </is>
      </c>
      <c r="O3" s="8" t="inlineStr">
        <is>
          <t>Мес 14</t>
        </is>
      </c>
      <c r="P3" s="8" t="inlineStr">
        <is>
          <t>Мес 15</t>
        </is>
      </c>
      <c r="Q3" s="8" t="inlineStr">
        <is>
          <t>Мес 16</t>
        </is>
      </c>
      <c r="R3" s="8" t="inlineStr">
        <is>
          <t>Мес 17</t>
        </is>
      </c>
      <c r="S3" s="8" t="inlineStr">
        <is>
          <t>Мес 18</t>
        </is>
      </c>
      <c r="T3" s="8" t="inlineStr">
        <is>
          <t>Мес 19</t>
        </is>
      </c>
      <c r="U3" s="8" t="inlineStr">
        <is>
          <t>Мес 20</t>
        </is>
      </c>
      <c r="V3" s="8" t="inlineStr">
        <is>
          <t>Мес 21</t>
        </is>
      </c>
      <c r="W3" s="8" t="inlineStr">
        <is>
          <t>Мес 22</t>
        </is>
      </c>
      <c r="X3" s="8" t="inlineStr">
        <is>
          <t>Мес 23</t>
        </is>
      </c>
      <c r="Y3" s="8" t="inlineStr">
        <is>
          <t>Мес 24</t>
        </is>
      </c>
    </row>
    <row r="4">
      <c r="A4" s="9" t="inlineStr">
        <is>
          <t>ПОЛЬЗОВАТЕЛИ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1" t="inlineStr">
        <is>
          <t>Новые пользователи</t>
        </is>
      </c>
      <c r="B5" s="12">
        <f>MIN('Параметры'!B17*(1+'Параметры'!B18/100)^(1-1),'Параметры'!B19)</f>
        <v/>
      </c>
      <c r="C5" s="12">
        <f>MIN('Параметры'!B17*(1+'Параметры'!B18/100)^(2-1),'Параметры'!B19)</f>
        <v/>
      </c>
      <c r="D5" s="12">
        <f>MIN('Параметры'!B17*(1+'Параметры'!B18/100)^(3-1),'Параметры'!B19)</f>
        <v/>
      </c>
      <c r="E5" s="12">
        <f>MIN('Параметры'!B17*(1+'Параметры'!B18/100)^(4-1),'Параметры'!B19)</f>
        <v/>
      </c>
      <c r="F5" s="12">
        <f>MIN('Параметры'!B17*(1+'Параметры'!B18/100)^(5-1),'Параметры'!B19)</f>
        <v/>
      </c>
      <c r="G5" s="12">
        <f>MIN('Параметры'!B17*(1+'Параметры'!B18/100)^(6-1),'Параметры'!B19)</f>
        <v/>
      </c>
      <c r="H5" s="12">
        <f>MIN('Параметры'!B17*(1+'Параметры'!B18/100)^(7-1),'Параметры'!B19)</f>
        <v/>
      </c>
      <c r="I5" s="12">
        <f>MIN('Параметры'!B17*(1+'Параметры'!B18/100)^(8-1),'Параметры'!B19)</f>
        <v/>
      </c>
      <c r="J5" s="12">
        <f>MIN('Параметры'!B17*(1+'Параметры'!B18/100)^(9-1),'Параметры'!B19)</f>
        <v/>
      </c>
      <c r="K5" s="12">
        <f>MIN('Параметры'!B17*(1+'Параметры'!B18/100)^(10-1),'Параметры'!B19)</f>
        <v/>
      </c>
      <c r="L5" s="12">
        <f>MIN('Параметры'!B17*(1+'Параметры'!B18/100)^(11-1),'Параметры'!B19)</f>
        <v/>
      </c>
      <c r="M5" s="12">
        <f>MIN('Параметры'!B17*(1+'Параметры'!B18/100)^(12-1),'Параметры'!B19)</f>
        <v/>
      </c>
      <c r="N5" s="12">
        <f>MIN('Параметры'!B17*(1+'Параметры'!B18/100)^(13-1),'Параметры'!B19)</f>
        <v/>
      </c>
      <c r="O5" s="12">
        <f>MIN('Параметры'!B17*(1+'Параметры'!B18/100)^(14-1),'Параметры'!B19)</f>
        <v/>
      </c>
      <c r="P5" s="12">
        <f>MIN('Параметры'!B17*(1+'Параметры'!B18/100)^(15-1),'Параметры'!B19)</f>
        <v/>
      </c>
      <c r="Q5" s="12">
        <f>MIN('Параметры'!B17*(1+'Параметры'!B18/100)^(16-1),'Параметры'!B19)</f>
        <v/>
      </c>
      <c r="R5" s="12">
        <f>MIN('Параметры'!B17*(1+'Параметры'!B18/100)^(17-1),'Параметры'!B19)</f>
        <v/>
      </c>
      <c r="S5" s="12">
        <f>MIN('Параметры'!B17*(1+'Параметры'!B18/100)^(18-1),'Параметры'!B19)</f>
        <v/>
      </c>
      <c r="T5" s="12">
        <f>MIN('Параметры'!B17*(1+'Параметры'!B18/100)^(19-1),'Параметры'!B19)</f>
        <v/>
      </c>
      <c r="U5" s="12">
        <f>MIN('Параметры'!B17*(1+'Параметры'!B18/100)^(20-1),'Параметры'!B19)</f>
        <v/>
      </c>
      <c r="V5" s="12">
        <f>MIN('Параметры'!B17*(1+'Параметры'!B18/100)^(21-1),'Параметры'!B19)</f>
        <v/>
      </c>
      <c r="W5" s="12">
        <f>MIN('Параметры'!B17*(1+'Параметры'!B18/100)^(22-1),'Параметры'!B19)</f>
        <v/>
      </c>
      <c r="X5" s="12">
        <f>MIN('Параметры'!B17*(1+'Параметры'!B18/100)^(23-1),'Параметры'!B19)</f>
        <v/>
      </c>
      <c r="Y5" s="12">
        <f>MIN('Параметры'!B17*(1+'Параметры'!B18/100)^(24-1),'Параметры'!B19)</f>
        <v/>
      </c>
    </row>
    <row r="6">
      <c r="A6" s="11" t="inlineStr">
        <is>
          <t>Всего (накопл.)</t>
        </is>
      </c>
      <c r="B6" s="12">
        <f>B5</f>
        <v/>
      </c>
      <c r="C6" s="12">
        <f>B6+C5</f>
        <v/>
      </c>
      <c r="D6" s="12">
        <f>C6+D5</f>
        <v/>
      </c>
      <c r="E6" s="12">
        <f>D6+E5</f>
        <v/>
      </c>
      <c r="F6" s="12">
        <f>E6+F5</f>
        <v/>
      </c>
      <c r="G6" s="12">
        <f>F6+G5</f>
        <v/>
      </c>
      <c r="H6" s="12">
        <f>G6+H5</f>
        <v/>
      </c>
      <c r="I6" s="12">
        <f>H6+I5</f>
        <v/>
      </c>
      <c r="J6" s="12">
        <f>I6+J5</f>
        <v/>
      </c>
      <c r="K6" s="12">
        <f>J6+K5</f>
        <v/>
      </c>
      <c r="L6" s="12">
        <f>K6+L5</f>
        <v/>
      </c>
      <c r="M6" s="12">
        <f>L6+M5</f>
        <v/>
      </c>
      <c r="N6" s="12">
        <f>M6+N5</f>
        <v/>
      </c>
      <c r="O6" s="12">
        <f>N6+O5</f>
        <v/>
      </c>
      <c r="P6" s="12">
        <f>O6+P5</f>
        <v/>
      </c>
      <c r="Q6" s="12">
        <f>P6+Q5</f>
        <v/>
      </c>
      <c r="R6" s="12">
        <f>Q6+R5</f>
        <v/>
      </c>
      <c r="S6" s="12">
        <f>R6+S5</f>
        <v/>
      </c>
      <c r="T6" s="12">
        <f>S6+T5</f>
        <v/>
      </c>
      <c r="U6" s="12">
        <f>T6+U5</f>
        <v/>
      </c>
      <c r="V6" s="12">
        <f>U6+V5</f>
        <v/>
      </c>
      <c r="W6" s="12">
        <f>V6+W5</f>
        <v/>
      </c>
      <c r="X6" s="12">
        <f>W6+X5</f>
        <v/>
      </c>
      <c r="Y6" s="12">
        <f>X6+Y5</f>
        <v/>
      </c>
    </row>
    <row r="7">
      <c r="A7" s="11" t="inlineStr">
        <is>
          <t>EVA+ подписчики</t>
        </is>
      </c>
      <c r="B7" s="12">
        <f>ROUND(B6*'Параметры'!B22/100,0)</f>
        <v/>
      </c>
      <c r="C7" s="12">
        <f>ROUND(C6*'Параметры'!B22/100,0)</f>
        <v/>
      </c>
      <c r="D7" s="12">
        <f>ROUND(D6*'Параметры'!B22/100,0)</f>
        <v/>
      </c>
      <c r="E7" s="12">
        <f>ROUND(E6*'Параметры'!B22/100,0)</f>
        <v/>
      </c>
      <c r="F7" s="12">
        <f>ROUND(F6*'Параметры'!B22/100,0)</f>
        <v/>
      </c>
      <c r="G7" s="12">
        <f>ROUND(G6*'Параметры'!B22/100,0)</f>
        <v/>
      </c>
      <c r="H7" s="12">
        <f>ROUND(H6*'Параметры'!B22/100,0)</f>
        <v/>
      </c>
      <c r="I7" s="12">
        <f>ROUND(I6*'Параметры'!B22/100,0)</f>
        <v/>
      </c>
      <c r="J7" s="12">
        <f>ROUND(J6*'Параметры'!B22/100,0)</f>
        <v/>
      </c>
      <c r="K7" s="12">
        <f>ROUND(K6*'Параметры'!B22/100,0)</f>
        <v/>
      </c>
      <c r="L7" s="12">
        <f>ROUND(L6*'Параметры'!B22/100,0)</f>
        <v/>
      </c>
      <c r="M7" s="12">
        <f>ROUND(M6*'Параметры'!B22/100,0)</f>
        <v/>
      </c>
      <c r="N7" s="12">
        <f>ROUND(N6*'Параметры'!B22/100,0)</f>
        <v/>
      </c>
      <c r="O7" s="12">
        <f>ROUND(O6*'Параметры'!B22/100,0)</f>
        <v/>
      </c>
      <c r="P7" s="12">
        <f>ROUND(P6*'Параметры'!B22/100,0)</f>
        <v/>
      </c>
      <c r="Q7" s="12">
        <f>ROUND(Q6*'Параметры'!B22/100,0)</f>
        <v/>
      </c>
      <c r="R7" s="12">
        <f>ROUND(R6*'Параметры'!B22/100,0)</f>
        <v/>
      </c>
      <c r="S7" s="12">
        <f>ROUND(S6*'Параметры'!B22/100,0)</f>
        <v/>
      </c>
      <c r="T7" s="12">
        <f>ROUND(T6*'Параметры'!B22/100,0)</f>
        <v/>
      </c>
      <c r="U7" s="12">
        <f>ROUND(U6*'Параметры'!B22/100,0)</f>
        <v/>
      </c>
      <c r="V7" s="12">
        <f>ROUND(V6*'Параметры'!B22/100,0)</f>
        <v/>
      </c>
      <c r="W7" s="12">
        <f>ROUND(W6*'Параметры'!B22/100,0)</f>
        <v/>
      </c>
      <c r="X7" s="12">
        <f>ROUND(X6*'Параметры'!B22/100,0)</f>
        <v/>
      </c>
      <c r="Y7" s="12">
        <f>ROUND(Y6*'Параметры'!B22/100,0)</f>
        <v/>
      </c>
    </row>
    <row r="8">
      <c r="A8" s="13" t="inlineStr"/>
    </row>
    <row r="9">
      <c r="A9" s="9" t="inlineStr">
        <is>
          <t>ВЫРУЧКА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1" t="inlineStr">
        <is>
          <t>ARPU средний</t>
        </is>
      </c>
      <c r="B10" s="12">
        <f>'Параметры'!B10*(1-'Параметры'!B12/100)+'Параметры'!B11/12*'Параметры'!B12/100</f>
        <v/>
      </c>
      <c r="C10" s="12">
        <f>'Параметры'!B10*(1-'Параметры'!B12/100)+'Параметры'!B11/12*'Параметры'!B12/100</f>
        <v/>
      </c>
      <c r="D10" s="12">
        <f>'Параметры'!B10*(1-'Параметры'!B12/100)+'Параметры'!B11/12*'Параметры'!B12/100</f>
        <v/>
      </c>
      <c r="E10" s="12">
        <f>'Параметры'!B10*(1-'Параметры'!B12/100)+'Параметры'!B11/12*'Параметры'!B12/100</f>
        <v/>
      </c>
      <c r="F10" s="12">
        <f>'Параметры'!B10*(1-'Параметры'!B12/100)+'Параметры'!B11/12*'Параметры'!B12/100</f>
        <v/>
      </c>
      <c r="G10" s="12">
        <f>'Параметры'!B10*(1-'Параметры'!B12/100)+'Параметры'!B11/12*'Параметры'!B12/100</f>
        <v/>
      </c>
      <c r="H10" s="12">
        <f>'Параметры'!B10*(1-'Параметры'!B12/100)+'Параметры'!B11/12*'Параметры'!B12/100</f>
        <v/>
      </c>
      <c r="I10" s="12">
        <f>'Параметры'!B10*(1-'Параметры'!B12/100)+'Параметры'!B11/12*'Параметры'!B12/100</f>
        <v/>
      </c>
      <c r="J10" s="12">
        <f>'Параметры'!B10*(1-'Параметры'!B12/100)+'Параметры'!B11/12*'Параметры'!B12/100</f>
        <v/>
      </c>
      <c r="K10" s="12">
        <f>'Параметры'!B10*(1-'Параметры'!B12/100)+'Параметры'!B11/12*'Параметры'!B12/100</f>
        <v/>
      </c>
      <c r="L10" s="12">
        <f>'Параметры'!B10*(1-'Параметры'!B12/100)+'Параметры'!B11/12*'Параметры'!B12/100</f>
        <v/>
      </c>
      <c r="M10" s="12">
        <f>'Параметры'!B10*(1-'Параметры'!B12/100)+'Параметры'!B11/12*'Параметры'!B12/100</f>
        <v/>
      </c>
      <c r="N10" s="12">
        <f>'Параметры'!B10*(1-'Параметры'!B12/100)+'Параметры'!B11/12*'Параметры'!B12/100</f>
        <v/>
      </c>
      <c r="O10" s="12">
        <f>'Параметры'!B10*(1-'Параметры'!B12/100)+'Параметры'!B11/12*'Параметры'!B12/100</f>
        <v/>
      </c>
      <c r="P10" s="12">
        <f>'Параметры'!B10*(1-'Параметры'!B12/100)+'Параметры'!B11/12*'Параметры'!B12/100</f>
        <v/>
      </c>
      <c r="Q10" s="12">
        <f>'Параметры'!B10*(1-'Параметры'!B12/100)+'Параметры'!B11/12*'Параметры'!B12/100</f>
        <v/>
      </c>
      <c r="R10" s="12">
        <f>'Параметры'!B10*(1-'Параметры'!B12/100)+'Параметры'!B11/12*'Параметры'!B12/100</f>
        <v/>
      </c>
      <c r="S10" s="12">
        <f>'Параметры'!B10*(1-'Параметры'!B12/100)+'Параметры'!B11/12*'Параметры'!B12/100</f>
        <v/>
      </c>
      <c r="T10" s="12">
        <f>'Параметры'!B10*(1-'Параметры'!B12/100)+'Параметры'!B11/12*'Параметры'!B12/100</f>
        <v/>
      </c>
      <c r="U10" s="12">
        <f>'Параметры'!B10*(1-'Параметры'!B12/100)+'Параметры'!B11/12*'Параметры'!B12/100</f>
        <v/>
      </c>
      <c r="V10" s="12">
        <f>'Параметры'!B10*(1-'Параметры'!B12/100)+'Параметры'!B11/12*'Параметры'!B12/100</f>
        <v/>
      </c>
      <c r="W10" s="12">
        <f>'Параметры'!B10*(1-'Параметры'!B12/100)+'Параметры'!B11/12*'Параметры'!B12/100</f>
        <v/>
      </c>
      <c r="X10" s="12">
        <f>'Параметры'!B10*(1-'Параметры'!B12/100)+'Параметры'!B11/12*'Параметры'!B12/100</f>
        <v/>
      </c>
      <c r="Y10" s="12">
        <f>'Параметры'!B10*(1-'Параметры'!B12/100)+'Параметры'!B11/12*'Параметры'!B12/100</f>
        <v/>
      </c>
    </row>
    <row r="11">
      <c r="A11" s="11" t="inlineStr">
        <is>
          <t>Подписки</t>
        </is>
      </c>
      <c r="B11" s="12">
        <f>B7*B10</f>
        <v/>
      </c>
      <c r="C11" s="12">
        <f>C7*C10</f>
        <v/>
      </c>
      <c r="D11" s="12">
        <f>D7*D10</f>
        <v/>
      </c>
      <c r="E11" s="12">
        <f>E7*E10</f>
        <v/>
      </c>
      <c r="F11" s="12">
        <f>F7*F10</f>
        <v/>
      </c>
      <c r="G11" s="12">
        <f>G7*G10</f>
        <v/>
      </c>
      <c r="H11" s="12">
        <f>H7*H10</f>
        <v/>
      </c>
      <c r="I11" s="12">
        <f>I7*I10</f>
        <v/>
      </c>
      <c r="J11" s="12">
        <f>J7*J10</f>
        <v/>
      </c>
      <c r="K11" s="12">
        <f>K7*K10</f>
        <v/>
      </c>
      <c r="L11" s="12">
        <f>L7*L10</f>
        <v/>
      </c>
      <c r="M11" s="12">
        <f>M7*M10</f>
        <v/>
      </c>
      <c r="N11" s="12">
        <f>N7*N10</f>
        <v/>
      </c>
      <c r="O11" s="12">
        <f>O7*O10</f>
        <v/>
      </c>
      <c r="P11" s="12">
        <f>P7*P10</f>
        <v/>
      </c>
      <c r="Q11" s="12">
        <f>Q7*Q10</f>
        <v/>
      </c>
      <c r="R11" s="12">
        <f>R7*R10</f>
        <v/>
      </c>
      <c r="S11" s="12">
        <f>S7*S10</f>
        <v/>
      </c>
      <c r="T11" s="12">
        <f>T7*T10</f>
        <v/>
      </c>
      <c r="U11" s="12">
        <f>U7*U10</f>
        <v/>
      </c>
      <c r="V11" s="12">
        <f>V7*V10</f>
        <v/>
      </c>
      <c r="W11" s="12">
        <f>W7*W10</f>
        <v/>
      </c>
      <c r="X11" s="12">
        <f>X7*X10</f>
        <v/>
      </c>
      <c r="Y11" s="12">
        <f>Y7*Y10</f>
        <v/>
      </c>
    </row>
    <row r="12">
      <c r="A12" s="11" t="inlineStr">
        <is>
          <t>Доп. сценарии</t>
        </is>
      </c>
      <c r="B12" s="12">
        <f>IF(1&gt;='Параметры'!B50,'Параметры'!B51,0)</f>
        <v/>
      </c>
      <c r="C12" s="12">
        <f>IF(2&gt;='Параметры'!B50,'Параметры'!B51,0)</f>
        <v/>
      </c>
      <c r="D12" s="12">
        <f>IF(3&gt;='Параметры'!B50,'Параметры'!B51,0)</f>
        <v/>
      </c>
      <c r="E12" s="12">
        <f>IF(4&gt;='Параметры'!B50,'Параметры'!B51,0)</f>
        <v/>
      </c>
      <c r="F12" s="12">
        <f>IF(5&gt;='Параметры'!B50,'Параметры'!B51,0)</f>
        <v/>
      </c>
      <c r="G12" s="12">
        <f>IF(6&gt;='Параметры'!B50,'Параметры'!B51,0)</f>
        <v/>
      </c>
      <c r="H12" s="12">
        <f>IF(7&gt;='Параметры'!B50,'Параметры'!B51,0)</f>
        <v/>
      </c>
      <c r="I12" s="12">
        <f>IF(8&gt;='Параметры'!B50,'Параметры'!B51,0)</f>
        <v/>
      </c>
      <c r="J12" s="12">
        <f>IF(9&gt;='Параметры'!B50,'Параметры'!B51,0)</f>
        <v/>
      </c>
      <c r="K12" s="12">
        <f>IF(10&gt;='Параметры'!B50,'Параметры'!B51,0)</f>
        <v/>
      </c>
      <c r="L12" s="12">
        <f>IF(11&gt;='Параметры'!B50,'Параметры'!B51,0)</f>
        <v/>
      </c>
      <c r="M12" s="12">
        <f>IF(12&gt;='Параметры'!B50,'Параметры'!B51,0)</f>
        <v/>
      </c>
      <c r="N12" s="12">
        <f>IF(13&gt;='Параметры'!B50,'Параметры'!B51,0)</f>
        <v/>
      </c>
      <c r="O12" s="12">
        <f>IF(14&gt;='Параметры'!B50,'Параметры'!B51,0)</f>
        <v/>
      </c>
      <c r="P12" s="12">
        <f>IF(15&gt;='Параметры'!B50,'Параметры'!B51,0)</f>
        <v/>
      </c>
      <c r="Q12" s="12">
        <f>IF(16&gt;='Параметры'!B50,'Параметры'!B51,0)</f>
        <v/>
      </c>
      <c r="R12" s="12">
        <f>IF(17&gt;='Параметры'!B50,'Параметры'!B51,0)</f>
        <v/>
      </c>
      <c r="S12" s="12">
        <f>IF(18&gt;='Параметры'!B50,'Параметры'!B51,0)</f>
        <v/>
      </c>
      <c r="T12" s="12">
        <f>IF(19&gt;='Параметры'!B50,'Параметры'!B51,0)</f>
        <v/>
      </c>
      <c r="U12" s="12">
        <f>IF(20&gt;='Параметры'!B50,'Параметры'!B51,0)</f>
        <v/>
      </c>
      <c r="V12" s="12">
        <f>IF(21&gt;='Параметры'!B50,'Параметры'!B51,0)</f>
        <v/>
      </c>
      <c r="W12" s="12">
        <f>IF(22&gt;='Параметры'!B50,'Параметры'!B51,0)</f>
        <v/>
      </c>
      <c r="X12" s="12">
        <f>IF(23&gt;='Параметры'!B50,'Параметры'!B51,0)</f>
        <v/>
      </c>
      <c r="Y12" s="12">
        <f>IF(24&gt;='Параметры'!B50,'Параметры'!B51,0)</f>
        <v/>
      </c>
    </row>
    <row r="13">
      <c r="A13" s="11" t="inlineStr">
        <is>
          <t>Персональные маршруты</t>
        </is>
      </c>
      <c r="B13" s="12">
        <f>IF(1&gt;='Параметры'!B52,'Параметры'!B53,0)</f>
        <v/>
      </c>
      <c r="C13" s="12">
        <f>IF(2&gt;='Параметры'!B52,'Параметры'!B53,0)</f>
        <v/>
      </c>
      <c r="D13" s="12">
        <f>IF(3&gt;='Параметры'!B52,'Параметры'!B53,0)</f>
        <v/>
      </c>
      <c r="E13" s="12">
        <f>IF(4&gt;='Параметры'!B52,'Параметры'!B53,0)</f>
        <v/>
      </c>
      <c r="F13" s="12">
        <f>IF(5&gt;='Параметры'!B52,'Параметры'!B53,0)</f>
        <v/>
      </c>
      <c r="G13" s="12">
        <f>IF(6&gt;='Параметры'!B52,'Параметры'!B53,0)</f>
        <v/>
      </c>
      <c r="H13" s="12">
        <f>IF(7&gt;='Параметры'!B52,'Параметры'!B53,0)</f>
        <v/>
      </c>
      <c r="I13" s="12">
        <f>IF(8&gt;='Параметры'!B52,'Параметры'!B53,0)</f>
        <v/>
      </c>
      <c r="J13" s="12">
        <f>IF(9&gt;='Параметры'!B52,'Параметры'!B53,0)</f>
        <v/>
      </c>
      <c r="K13" s="12">
        <f>IF(10&gt;='Параметры'!B52,'Параметры'!B53,0)</f>
        <v/>
      </c>
      <c r="L13" s="12">
        <f>IF(11&gt;='Параметры'!B52,'Параметры'!B53,0)</f>
        <v/>
      </c>
      <c r="M13" s="12">
        <f>IF(12&gt;='Параметры'!B52,'Параметры'!B53,0)</f>
        <v/>
      </c>
      <c r="N13" s="12">
        <f>IF(13&gt;='Параметры'!B52,'Параметры'!B53,0)</f>
        <v/>
      </c>
      <c r="O13" s="12">
        <f>IF(14&gt;='Параметры'!B52,'Параметры'!B53,0)</f>
        <v/>
      </c>
      <c r="P13" s="12">
        <f>IF(15&gt;='Параметры'!B52,'Параметры'!B53,0)</f>
        <v/>
      </c>
      <c r="Q13" s="12">
        <f>IF(16&gt;='Параметры'!B52,'Параметры'!B53,0)</f>
        <v/>
      </c>
      <c r="R13" s="12">
        <f>IF(17&gt;='Параметры'!B52,'Параметры'!B53,0)</f>
        <v/>
      </c>
      <c r="S13" s="12">
        <f>IF(18&gt;='Параметры'!B52,'Параметры'!B53,0)</f>
        <v/>
      </c>
      <c r="T13" s="12">
        <f>IF(19&gt;='Параметры'!B52,'Параметры'!B53,0)</f>
        <v/>
      </c>
      <c r="U13" s="12">
        <f>IF(20&gt;='Параметры'!B52,'Параметры'!B53,0)</f>
        <v/>
      </c>
      <c r="V13" s="12">
        <f>IF(21&gt;='Параметры'!B52,'Параметры'!B53,0)</f>
        <v/>
      </c>
      <c r="W13" s="12">
        <f>IF(22&gt;='Параметры'!B52,'Параметры'!B53,0)</f>
        <v/>
      </c>
      <c r="X13" s="12">
        <f>IF(23&gt;='Параметры'!B52,'Параметры'!B53,0)</f>
        <v/>
      </c>
      <c r="Y13" s="12">
        <f>IF(24&gt;='Параметры'!B52,'Параметры'!B53,0)</f>
        <v/>
      </c>
    </row>
    <row r="14">
      <c r="A14" s="11" t="inlineStr">
        <is>
          <t>Партнёрская экосистема</t>
        </is>
      </c>
      <c r="B14" s="12">
        <f>IF(1&gt;='Параметры'!B54,'Параметры'!B55,0)</f>
        <v/>
      </c>
      <c r="C14" s="12">
        <f>IF(2&gt;='Параметры'!B54,'Параметры'!B55,0)</f>
        <v/>
      </c>
      <c r="D14" s="12">
        <f>IF(3&gt;='Параметры'!B54,'Параметры'!B55,0)</f>
        <v/>
      </c>
      <c r="E14" s="12">
        <f>IF(4&gt;='Параметры'!B54,'Параметры'!B55,0)</f>
        <v/>
      </c>
      <c r="F14" s="12">
        <f>IF(5&gt;='Параметры'!B54,'Параметры'!B55,0)</f>
        <v/>
      </c>
      <c r="G14" s="12">
        <f>IF(6&gt;='Параметры'!B54,'Параметры'!B55,0)</f>
        <v/>
      </c>
      <c r="H14" s="12">
        <f>IF(7&gt;='Параметры'!B54,'Параметры'!B55,0)</f>
        <v/>
      </c>
      <c r="I14" s="12">
        <f>IF(8&gt;='Параметры'!B54,'Параметры'!B55,0)</f>
        <v/>
      </c>
      <c r="J14" s="12">
        <f>IF(9&gt;='Параметры'!B54,'Параметры'!B55,0)</f>
        <v/>
      </c>
      <c r="K14" s="12">
        <f>IF(10&gt;='Параметры'!B54,'Параметры'!B55,0)</f>
        <v/>
      </c>
      <c r="L14" s="12">
        <f>IF(11&gt;='Параметры'!B54,'Параметры'!B55,0)</f>
        <v/>
      </c>
      <c r="M14" s="12">
        <f>IF(12&gt;='Параметры'!B54,'Параметры'!B55,0)</f>
        <v/>
      </c>
      <c r="N14" s="12">
        <f>IF(13&gt;='Параметры'!B54,'Параметры'!B55,0)</f>
        <v/>
      </c>
      <c r="O14" s="12">
        <f>IF(14&gt;='Параметры'!B54,'Параметры'!B55,0)</f>
        <v/>
      </c>
      <c r="P14" s="12">
        <f>IF(15&gt;='Параметры'!B54,'Параметры'!B55,0)</f>
        <v/>
      </c>
      <c r="Q14" s="12">
        <f>IF(16&gt;='Параметры'!B54,'Параметры'!B55,0)</f>
        <v/>
      </c>
      <c r="R14" s="12">
        <f>IF(17&gt;='Параметры'!B54,'Параметры'!B55,0)</f>
        <v/>
      </c>
      <c r="S14" s="12">
        <f>IF(18&gt;='Параметры'!B54,'Параметры'!B55,0)</f>
        <v/>
      </c>
      <c r="T14" s="12">
        <f>IF(19&gt;='Параметры'!B54,'Параметры'!B55,0)</f>
        <v/>
      </c>
      <c r="U14" s="12">
        <f>IF(20&gt;='Параметры'!B54,'Параметры'!B55,0)</f>
        <v/>
      </c>
      <c r="V14" s="12">
        <f>IF(21&gt;='Параметры'!B54,'Параметры'!B55,0)</f>
        <v/>
      </c>
      <c r="W14" s="12">
        <f>IF(22&gt;='Параметры'!B54,'Параметры'!B55,0)</f>
        <v/>
      </c>
      <c r="X14" s="12">
        <f>IF(23&gt;='Параметры'!B54,'Параметры'!B55,0)</f>
        <v/>
      </c>
      <c r="Y14" s="12">
        <f>IF(24&gt;='Параметры'!B54,'Параметры'!B55,0)</f>
        <v/>
      </c>
    </row>
    <row r="15">
      <c r="A15" s="11" t="inlineStr">
        <is>
          <t>ИИ-помощник</t>
        </is>
      </c>
      <c r="B15" s="12">
        <f>IF(1&gt;='Параметры'!B56,'Параметры'!B57,0)</f>
        <v/>
      </c>
      <c r="C15" s="12">
        <f>IF(2&gt;='Параметры'!B56,'Параметры'!B57,0)</f>
        <v/>
      </c>
      <c r="D15" s="12">
        <f>IF(3&gt;='Параметры'!B56,'Параметры'!B57,0)</f>
        <v/>
      </c>
      <c r="E15" s="12">
        <f>IF(4&gt;='Параметры'!B56,'Параметры'!B57,0)</f>
        <v/>
      </c>
      <c r="F15" s="12">
        <f>IF(5&gt;='Параметры'!B56,'Параметры'!B57,0)</f>
        <v/>
      </c>
      <c r="G15" s="12">
        <f>IF(6&gt;='Параметры'!B56,'Параметры'!B57,0)</f>
        <v/>
      </c>
      <c r="H15" s="12">
        <f>IF(7&gt;='Параметры'!B56,'Параметры'!B57,0)</f>
        <v/>
      </c>
      <c r="I15" s="12">
        <f>IF(8&gt;='Параметры'!B56,'Параметры'!B57,0)</f>
        <v/>
      </c>
      <c r="J15" s="12">
        <f>IF(9&gt;='Параметры'!B56,'Параметры'!B57,0)</f>
        <v/>
      </c>
      <c r="K15" s="12">
        <f>IF(10&gt;='Параметры'!B56,'Параметры'!B57,0)</f>
        <v/>
      </c>
      <c r="L15" s="12">
        <f>IF(11&gt;='Параметры'!B56,'Параметры'!B57,0)</f>
        <v/>
      </c>
      <c r="M15" s="12">
        <f>IF(12&gt;='Параметры'!B56,'Параметры'!B57,0)</f>
        <v/>
      </c>
      <c r="N15" s="12">
        <f>IF(13&gt;='Параметры'!B56,'Параметры'!B57,0)</f>
        <v/>
      </c>
      <c r="O15" s="12">
        <f>IF(14&gt;='Параметры'!B56,'Параметры'!B57,0)</f>
        <v/>
      </c>
      <c r="P15" s="12">
        <f>IF(15&gt;='Параметры'!B56,'Параметры'!B57,0)</f>
        <v/>
      </c>
      <c r="Q15" s="12">
        <f>IF(16&gt;='Параметры'!B56,'Параметры'!B57,0)</f>
        <v/>
      </c>
      <c r="R15" s="12">
        <f>IF(17&gt;='Параметры'!B56,'Параметры'!B57,0)</f>
        <v/>
      </c>
      <c r="S15" s="12">
        <f>IF(18&gt;='Параметры'!B56,'Параметры'!B57,0)</f>
        <v/>
      </c>
      <c r="T15" s="12">
        <f>IF(19&gt;='Параметры'!B56,'Параметры'!B57,0)</f>
        <v/>
      </c>
      <c r="U15" s="12">
        <f>IF(20&gt;='Параметры'!B56,'Параметры'!B57,0)</f>
        <v/>
      </c>
      <c r="V15" s="12">
        <f>IF(21&gt;='Параметры'!B56,'Параметры'!B57,0)</f>
        <v/>
      </c>
      <c r="W15" s="12">
        <f>IF(22&gt;='Параметры'!B56,'Параметры'!B57,0)</f>
        <v/>
      </c>
      <c r="X15" s="12">
        <f>IF(23&gt;='Параметры'!B56,'Параметры'!B57,0)</f>
        <v/>
      </c>
      <c r="Y15" s="12">
        <f>IF(24&gt;='Параметры'!B56,'Параметры'!B57,0)</f>
        <v/>
      </c>
    </row>
    <row r="16">
      <c r="A16" s="11" t="inlineStr">
        <is>
          <t>Сообщества</t>
        </is>
      </c>
      <c r="B16" s="12">
        <f>IF(1&gt;='Параметры'!B58,'Параметры'!B59,0)</f>
        <v/>
      </c>
      <c r="C16" s="12">
        <f>IF(2&gt;='Параметры'!B58,'Параметры'!B59,0)</f>
        <v/>
      </c>
      <c r="D16" s="12">
        <f>IF(3&gt;='Параметры'!B58,'Параметры'!B59,0)</f>
        <v/>
      </c>
      <c r="E16" s="12">
        <f>IF(4&gt;='Параметры'!B58,'Параметры'!B59,0)</f>
        <v/>
      </c>
      <c r="F16" s="12">
        <f>IF(5&gt;='Параметры'!B58,'Параметры'!B59,0)</f>
        <v/>
      </c>
      <c r="G16" s="12">
        <f>IF(6&gt;='Параметры'!B58,'Параметры'!B59,0)</f>
        <v/>
      </c>
      <c r="H16" s="12">
        <f>IF(7&gt;='Параметры'!B58,'Параметры'!B59,0)</f>
        <v/>
      </c>
      <c r="I16" s="12">
        <f>IF(8&gt;='Параметры'!B58,'Параметры'!B59,0)</f>
        <v/>
      </c>
      <c r="J16" s="12">
        <f>IF(9&gt;='Параметры'!B58,'Параметры'!B59,0)</f>
        <v/>
      </c>
      <c r="K16" s="12">
        <f>IF(10&gt;='Параметры'!B58,'Параметры'!B59,0)</f>
        <v/>
      </c>
      <c r="L16" s="12">
        <f>IF(11&gt;='Параметры'!B58,'Параметры'!B59,0)</f>
        <v/>
      </c>
      <c r="M16" s="12">
        <f>IF(12&gt;='Параметры'!B58,'Параметры'!B59,0)</f>
        <v/>
      </c>
      <c r="N16" s="12">
        <f>IF(13&gt;='Параметры'!B58,'Параметры'!B59,0)</f>
        <v/>
      </c>
      <c r="O16" s="12">
        <f>IF(14&gt;='Параметры'!B58,'Параметры'!B59,0)</f>
        <v/>
      </c>
      <c r="P16" s="12">
        <f>IF(15&gt;='Параметры'!B58,'Параметры'!B59,0)</f>
        <v/>
      </c>
      <c r="Q16" s="12">
        <f>IF(16&gt;='Параметры'!B58,'Параметры'!B59,0)</f>
        <v/>
      </c>
      <c r="R16" s="12">
        <f>IF(17&gt;='Параметры'!B58,'Параметры'!B59,0)</f>
        <v/>
      </c>
      <c r="S16" s="12">
        <f>IF(18&gt;='Параметры'!B58,'Параметры'!B59,0)</f>
        <v/>
      </c>
      <c r="T16" s="12">
        <f>IF(19&gt;='Параметры'!B58,'Параметры'!B59,0)</f>
        <v/>
      </c>
      <c r="U16" s="12">
        <f>IF(20&gt;='Параметры'!B58,'Параметры'!B59,0)</f>
        <v/>
      </c>
      <c r="V16" s="12">
        <f>IF(21&gt;='Параметры'!B58,'Параметры'!B59,0)</f>
        <v/>
      </c>
      <c r="W16" s="12">
        <f>IF(22&gt;='Параметры'!B58,'Параметры'!B59,0)</f>
        <v/>
      </c>
      <c r="X16" s="12">
        <f>IF(23&gt;='Параметры'!B58,'Параметры'!B59,0)</f>
        <v/>
      </c>
      <c r="Y16" s="12">
        <f>IF(24&gt;='Параметры'!B58,'Параметры'!B59,0)</f>
        <v/>
      </c>
    </row>
    <row r="17">
      <c r="A17" s="14" t="inlineStr">
        <is>
          <t>ИТОГО выручка</t>
        </is>
      </c>
      <c r="B17" s="15">
        <f>SUM(B11:B16)</f>
        <v/>
      </c>
      <c r="C17" s="15">
        <f>SUM(C11:C16)</f>
        <v/>
      </c>
      <c r="D17" s="15">
        <f>SUM(D11:D16)</f>
        <v/>
      </c>
      <c r="E17" s="15">
        <f>SUM(E11:E16)</f>
        <v/>
      </c>
      <c r="F17" s="15">
        <f>SUM(F11:F16)</f>
        <v/>
      </c>
      <c r="G17" s="15">
        <f>SUM(G11:G16)</f>
        <v/>
      </c>
      <c r="H17" s="15">
        <f>SUM(H11:H16)</f>
        <v/>
      </c>
      <c r="I17" s="15">
        <f>SUM(I11:I16)</f>
        <v/>
      </c>
      <c r="J17" s="15">
        <f>SUM(J11:J16)</f>
        <v/>
      </c>
      <c r="K17" s="15">
        <f>SUM(K11:K16)</f>
        <v/>
      </c>
      <c r="L17" s="15">
        <f>SUM(L11:L16)</f>
        <v/>
      </c>
      <c r="M17" s="15">
        <f>SUM(M11:M16)</f>
        <v/>
      </c>
      <c r="N17" s="15">
        <f>SUM(N11:N16)</f>
        <v/>
      </c>
      <c r="O17" s="15">
        <f>SUM(O11:O16)</f>
        <v/>
      </c>
      <c r="P17" s="15">
        <f>SUM(P11:P16)</f>
        <v/>
      </c>
      <c r="Q17" s="15">
        <f>SUM(Q11:Q16)</f>
        <v/>
      </c>
      <c r="R17" s="15">
        <f>SUM(R11:R16)</f>
        <v/>
      </c>
      <c r="S17" s="15">
        <f>SUM(S11:S16)</f>
        <v/>
      </c>
      <c r="T17" s="15">
        <f>SUM(T11:T16)</f>
        <v/>
      </c>
      <c r="U17" s="15">
        <f>SUM(U11:U16)</f>
        <v/>
      </c>
      <c r="V17" s="15">
        <f>SUM(V11:V16)</f>
        <v/>
      </c>
      <c r="W17" s="15">
        <f>SUM(W11:W16)</f>
        <v/>
      </c>
      <c r="X17" s="15">
        <f>SUM(X11:X16)</f>
        <v/>
      </c>
      <c r="Y17" s="15">
        <f>SUM(Y11:Y16)</f>
        <v/>
      </c>
    </row>
    <row r="18">
      <c r="A18" s="13" t="inlineStr"/>
    </row>
    <row r="19">
      <c r="A19" s="9" t="inlineStr">
        <is>
          <t>РАСХОДЫ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1" t="inlineStr">
        <is>
          <t>Разработка</t>
        </is>
      </c>
      <c r="B20" s="12">
        <f>IF(1&lt;=6,'Параметры'!B33,IF(1&lt;=12,'Параметры'!B34,'Параметры'!B35))</f>
        <v/>
      </c>
      <c r="C20" s="12">
        <f>IF(2&lt;=6,'Параметры'!B33,IF(2&lt;=12,'Параметры'!B34,'Параметры'!B35))</f>
        <v/>
      </c>
      <c r="D20" s="12">
        <f>IF(3&lt;=6,'Параметры'!B33,IF(3&lt;=12,'Параметры'!B34,'Параметры'!B35))</f>
        <v/>
      </c>
      <c r="E20" s="12">
        <f>IF(4&lt;=6,'Параметры'!B33,IF(4&lt;=12,'Параметры'!B34,'Параметры'!B35))</f>
        <v/>
      </c>
      <c r="F20" s="12">
        <f>IF(5&lt;=6,'Параметры'!B33,IF(5&lt;=12,'Параметры'!B34,'Параметры'!B35))</f>
        <v/>
      </c>
      <c r="G20" s="12">
        <f>IF(6&lt;=6,'Параметры'!B33,IF(6&lt;=12,'Параметры'!B34,'Параметры'!B35))</f>
        <v/>
      </c>
      <c r="H20" s="12">
        <f>IF(7&lt;=6,'Параметры'!B33,IF(7&lt;=12,'Параметры'!B34,'Параметры'!B35))</f>
        <v/>
      </c>
      <c r="I20" s="12">
        <f>IF(8&lt;=6,'Параметры'!B33,IF(8&lt;=12,'Параметры'!B34,'Параметры'!B35))</f>
        <v/>
      </c>
      <c r="J20" s="12">
        <f>IF(9&lt;=6,'Параметры'!B33,IF(9&lt;=12,'Параметры'!B34,'Параметры'!B35))</f>
        <v/>
      </c>
      <c r="K20" s="12">
        <f>IF(10&lt;=6,'Параметры'!B33,IF(10&lt;=12,'Параметры'!B34,'Параметры'!B35))</f>
        <v/>
      </c>
      <c r="L20" s="12">
        <f>IF(11&lt;=6,'Параметры'!B33,IF(11&lt;=12,'Параметры'!B34,'Параметры'!B35))</f>
        <v/>
      </c>
      <c r="M20" s="12">
        <f>IF(12&lt;=6,'Параметры'!B33,IF(12&lt;=12,'Параметры'!B34,'Параметры'!B35))</f>
        <v/>
      </c>
      <c r="N20" s="12">
        <f>IF(13&lt;=6,'Параметры'!B33,IF(13&lt;=12,'Параметры'!B34,'Параметры'!B35))</f>
        <v/>
      </c>
      <c r="O20" s="12">
        <f>IF(14&lt;=6,'Параметры'!B33,IF(14&lt;=12,'Параметры'!B34,'Параметры'!B35))</f>
        <v/>
      </c>
      <c r="P20" s="12">
        <f>IF(15&lt;=6,'Параметры'!B33,IF(15&lt;=12,'Параметры'!B34,'Параметры'!B35))</f>
        <v/>
      </c>
      <c r="Q20" s="12">
        <f>IF(16&lt;=6,'Параметры'!B33,IF(16&lt;=12,'Параметры'!B34,'Параметры'!B35))</f>
        <v/>
      </c>
      <c r="R20" s="12">
        <f>IF(17&lt;=6,'Параметры'!B33,IF(17&lt;=12,'Параметры'!B34,'Параметры'!B35))</f>
        <v/>
      </c>
      <c r="S20" s="12">
        <f>IF(18&lt;=6,'Параметры'!B33,IF(18&lt;=12,'Параметры'!B34,'Параметры'!B35))</f>
        <v/>
      </c>
      <c r="T20" s="12">
        <f>IF(19&lt;=6,'Параметры'!B33,IF(19&lt;=12,'Параметры'!B34,'Параметры'!B35))</f>
        <v/>
      </c>
      <c r="U20" s="12">
        <f>IF(20&lt;=6,'Параметры'!B33,IF(20&lt;=12,'Параметры'!B34,'Параметры'!B35))</f>
        <v/>
      </c>
      <c r="V20" s="12">
        <f>IF(21&lt;=6,'Параметры'!B33,IF(21&lt;=12,'Параметры'!B34,'Параметры'!B35))</f>
        <v/>
      </c>
      <c r="W20" s="12">
        <f>IF(22&lt;=6,'Параметры'!B33,IF(22&lt;=12,'Параметры'!B34,'Параметры'!B35))</f>
        <v/>
      </c>
      <c r="X20" s="12">
        <f>IF(23&lt;=6,'Параметры'!B33,IF(23&lt;=12,'Параметры'!B34,'Параметры'!B35))</f>
        <v/>
      </c>
      <c r="Y20" s="12">
        <f>IF(24&lt;=6,'Параметры'!B33,IF(24&lt;=12,'Параметры'!B34,'Параметры'!B35))</f>
        <v/>
      </c>
    </row>
    <row r="21">
      <c r="A21" s="11" t="inlineStr">
        <is>
          <t>Маркетинг</t>
        </is>
      </c>
      <c r="B21" s="12">
        <f>IF(1&lt;=6,'Параметры'!B36,IF(1&lt;=12,'Параметры'!B37,'Параметры'!B38))</f>
        <v/>
      </c>
      <c r="C21" s="12">
        <f>IF(2&lt;=6,'Параметры'!B36,IF(2&lt;=12,'Параметры'!B37,'Параметры'!B38))</f>
        <v/>
      </c>
      <c r="D21" s="12">
        <f>IF(3&lt;=6,'Параметры'!B36,IF(3&lt;=12,'Параметры'!B37,'Параметры'!B38))</f>
        <v/>
      </c>
      <c r="E21" s="12">
        <f>IF(4&lt;=6,'Параметры'!B36,IF(4&lt;=12,'Параметры'!B37,'Параметры'!B38))</f>
        <v/>
      </c>
      <c r="F21" s="12">
        <f>IF(5&lt;=6,'Параметры'!B36,IF(5&lt;=12,'Параметры'!B37,'Параметры'!B38))</f>
        <v/>
      </c>
      <c r="G21" s="12">
        <f>IF(6&lt;=6,'Параметры'!B36,IF(6&lt;=12,'Параметры'!B37,'Параметры'!B38))</f>
        <v/>
      </c>
      <c r="H21" s="12">
        <f>IF(7&lt;=6,'Параметры'!B36,IF(7&lt;=12,'Параметры'!B37,'Параметры'!B38))</f>
        <v/>
      </c>
      <c r="I21" s="12">
        <f>IF(8&lt;=6,'Параметры'!B36,IF(8&lt;=12,'Параметры'!B37,'Параметры'!B38))</f>
        <v/>
      </c>
      <c r="J21" s="12">
        <f>IF(9&lt;=6,'Параметры'!B36,IF(9&lt;=12,'Параметры'!B37,'Параметры'!B38))</f>
        <v/>
      </c>
      <c r="K21" s="12">
        <f>IF(10&lt;=6,'Параметры'!B36,IF(10&lt;=12,'Параметры'!B37,'Параметры'!B38))</f>
        <v/>
      </c>
      <c r="L21" s="12">
        <f>IF(11&lt;=6,'Параметры'!B36,IF(11&lt;=12,'Параметры'!B37,'Параметры'!B38))</f>
        <v/>
      </c>
      <c r="M21" s="12">
        <f>IF(12&lt;=6,'Параметры'!B36,IF(12&lt;=12,'Параметры'!B37,'Параметры'!B38))</f>
        <v/>
      </c>
      <c r="N21" s="12">
        <f>IF(13&lt;=6,'Параметры'!B36,IF(13&lt;=12,'Параметры'!B37,'Параметры'!B38))</f>
        <v/>
      </c>
      <c r="O21" s="12">
        <f>IF(14&lt;=6,'Параметры'!B36,IF(14&lt;=12,'Параметры'!B37,'Параметры'!B38))</f>
        <v/>
      </c>
      <c r="P21" s="12">
        <f>IF(15&lt;=6,'Параметры'!B36,IF(15&lt;=12,'Параметры'!B37,'Параметры'!B38))</f>
        <v/>
      </c>
      <c r="Q21" s="12">
        <f>IF(16&lt;=6,'Параметры'!B36,IF(16&lt;=12,'Параметры'!B37,'Параметры'!B38))</f>
        <v/>
      </c>
      <c r="R21" s="12">
        <f>IF(17&lt;=6,'Параметры'!B36,IF(17&lt;=12,'Параметры'!B37,'Параметры'!B38))</f>
        <v/>
      </c>
      <c r="S21" s="12">
        <f>IF(18&lt;=6,'Параметры'!B36,IF(18&lt;=12,'Параметры'!B37,'Параметры'!B38))</f>
        <v/>
      </c>
      <c r="T21" s="12">
        <f>IF(19&lt;=6,'Параметры'!B36,IF(19&lt;=12,'Параметры'!B37,'Параметры'!B38))</f>
        <v/>
      </c>
      <c r="U21" s="12">
        <f>IF(20&lt;=6,'Параметры'!B36,IF(20&lt;=12,'Параметры'!B37,'Параметры'!B38))</f>
        <v/>
      </c>
      <c r="V21" s="12">
        <f>IF(21&lt;=6,'Параметры'!B36,IF(21&lt;=12,'Параметры'!B37,'Параметры'!B38))</f>
        <v/>
      </c>
      <c r="W21" s="12">
        <f>IF(22&lt;=6,'Параметры'!B36,IF(22&lt;=12,'Параметры'!B37,'Параметры'!B38))</f>
        <v/>
      </c>
      <c r="X21" s="12">
        <f>IF(23&lt;=6,'Параметры'!B36,IF(23&lt;=12,'Параметры'!B37,'Параметры'!B38))</f>
        <v/>
      </c>
      <c r="Y21" s="12">
        <f>IF(24&lt;=6,'Параметры'!B36,IF(24&lt;=12,'Параметры'!B37,'Параметры'!B38))</f>
        <v/>
      </c>
    </row>
    <row r="22">
      <c r="A22" s="11" t="inlineStr">
        <is>
          <t>Инфраструктура РФ</t>
        </is>
      </c>
      <c r="B22" s="12">
        <f>IF(1&lt;=6,'Параметры'!B39,IF(1&lt;=12,'Параметры'!B40,'Параметры'!B41))</f>
        <v/>
      </c>
      <c r="C22" s="12">
        <f>IF(2&lt;=6,'Параметры'!B39,IF(2&lt;=12,'Параметры'!B40,'Параметры'!B41))</f>
        <v/>
      </c>
      <c r="D22" s="12">
        <f>IF(3&lt;=6,'Параметры'!B39,IF(3&lt;=12,'Параметры'!B40,'Параметры'!B41))</f>
        <v/>
      </c>
      <c r="E22" s="12">
        <f>IF(4&lt;=6,'Параметры'!B39,IF(4&lt;=12,'Параметры'!B40,'Параметры'!B41))</f>
        <v/>
      </c>
      <c r="F22" s="12">
        <f>IF(5&lt;=6,'Параметры'!B39,IF(5&lt;=12,'Параметры'!B40,'Параметры'!B41))</f>
        <v/>
      </c>
      <c r="G22" s="12">
        <f>IF(6&lt;=6,'Параметры'!B39,IF(6&lt;=12,'Параметры'!B40,'Параметры'!B41))</f>
        <v/>
      </c>
      <c r="H22" s="12">
        <f>IF(7&lt;=6,'Параметры'!B39,IF(7&lt;=12,'Параметры'!B40,'Параметры'!B41))</f>
        <v/>
      </c>
      <c r="I22" s="12">
        <f>IF(8&lt;=6,'Параметры'!B39,IF(8&lt;=12,'Параметры'!B40,'Параметры'!B41))</f>
        <v/>
      </c>
      <c r="J22" s="12">
        <f>IF(9&lt;=6,'Параметры'!B39,IF(9&lt;=12,'Параметры'!B40,'Параметры'!B41))</f>
        <v/>
      </c>
      <c r="K22" s="12">
        <f>IF(10&lt;=6,'Параметры'!B39,IF(10&lt;=12,'Параметры'!B40,'Параметры'!B41))</f>
        <v/>
      </c>
      <c r="L22" s="12">
        <f>IF(11&lt;=6,'Параметры'!B39,IF(11&lt;=12,'Параметры'!B40,'Параметры'!B41))</f>
        <v/>
      </c>
      <c r="M22" s="12">
        <f>IF(12&lt;=6,'Параметры'!B39,IF(12&lt;=12,'Параметры'!B40,'Параметры'!B41))</f>
        <v/>
      </c>
      <c r="N22" s="12">
        <f>IF(13&lt;=6,'Параметры'!B39,IF(13&lt;=12,'Параметры'!B40,'Параметры'!B41))</f>
        <v/>
      </c>
      <c r="O22" s="12">
        <f>IF(14&lt;=6,'Параметры'!B39,IF(14&lt;=12,'Параметры'!B40,'Параметры'!B41))</f>
        <v/>
      </c>
      <c r="P22" s="12">
        <f>IF(15&lt;=6,'Параметры'!B39,IF(15&lt;=12,'Параметры'!B40,'Параметры'!B41))</f>
        <v/>
      </c>
      <c r="Q22" s="12">
        <f>IF(16&lt;=6,'Параметры'!B39,IF(16&lt;=12,'Параметры'!B40,'Параметры'!B41))</f>
        <v/>
      </c>
      <c r="R22" s="12">
        <f>IF(17&lt;=6,'Параметры'!B39,IF(17&lt;=12,'Параметры'!B40,'Параметры'!B41))</f>
        <v/>
      </c>
      <c r="S22" s="12">
        <f>IF(18&lt;=6,'Параметры'!B39,IF(18&lt;=12,'Параметры'!B40,'Параметры'!B41))</f>
        <v/>
      </c>
      <c r="T22" s="12">
        <f>IF(19&lt;=6,'Параметры'!B39,IF(19&lt;=12,'Параметры'!B40,'Параметры'!B41))</f>
        <v/>
      </c>
      <c r="U22" s="12">
        <f>IF(20&lt;=6,'Параметры'!B39,IF(20&lt;=12,'Параметры'!B40,'Параметры'!B41))</f>
        <v/>
      </c>
      <c r="V22" s="12">
        <f>IF(21&lt;=6,'Параметры'!B39,IF(21&lt;=12,'Параметры'!B40,'Параметры'!B41))</f>
        <v/>
      </c>
      <c r="W22" s="12">
        <f>IF(22&lt;=6,'Параметры'!B39,IF(22&lt;=12,'Параметры'!B40,'Параметры'!B41))</f>
        <v/>
      </c>
      <c r="X22" s="12">
        <f>IF(23&lt;=6,'Параметры'!B39,IF(23&lt;=12,'Параметры'!B40,'Параметры'!B41))</f>
        <v/>
      </c>
      <c r="Y22" s="12">
        <f>IF(24&lt;=6,'Параметры'!B39,IF(24&lt;=12,'Параметры'!B40,'Параметры'!B41))</f>
        <v/>
      </c>
    </row>
    <row r="23">
      <c r="A23" s="11" t="inlineStr">
        <is>
          <t>Контент</t>
        </is>
      </c>
      <c r="B23" s="12">
        <f>IF(1&lt;=6,'Параметры'!B42,IF(1&lt;=12,'Параметры'!B43,'Параметры'!B44))</f>
        <v/>
      </c>
      <c r="C23" s="12">
        <f>IF(2&lt;=6,'Параметры'!B42,IF(2&lt;=12,'Параметры'!B43,'Параметры'!B44))</f>
        <v/>
      </c>
      <c r="D23" s="12">
        <f>IF(3&lt;=6,'Параметры'!B42,IF(3&lt;=12,'Параметры'!B43,'Параметры'!B44))</f>
        <v/>
      </c>
      <c r="E23" s="12">
        <f>IF(4&lt;=6,'Параметры'!B42,IF(4&lt;=12,'Параметры'!B43,'Параметры'!B44))</f>
        <v/>
      </c>
      <c r="F23" s="12">
        <f>IF(5&lt;=6,'Параметры'!B42,IF(5&lt;=12,'Параметры'!B43,'Параметры'!B44))</f>
        <v/>
      </c>
      <c r="G23" s="12">
        <f>IF(6&lt;=6,'Параметры'!B42,IF(6&lt;=12,'Параметры'!B43,'Параметры'!B44))</f>
        <v/>
      </c>
      <c r="H23" s="12">
        <f>IF(7&lt;=6,'Параметры'!B42,IF(7&lt;=12,'Параметры'!B43,'Параметры'!B44))</f>
        <v/>
      </c>
      <c r="I23" s="12">
        <f>IF(8&lt;=6,'Параметры'!B42,IF(8&lt;=12,'Параметры'!B43,'Параметры'!B44))</f>
        <v/>
      </c>
      <c r="J23" s="12">
        <f>IF(9&lt;=6,'Параметры'!B42,IF(9&lt;=12,'Параметры'!B43,'Параметры'!B44))</f>
        <v/>
      </c>
      <c r="K23" s="12">
        <f>IF(10&lt;=6,'Параметры'!B42,IF(10&lt;=12,'Параметры'!B43,'Параметры'!B44))</f>
        <v/>
      </c>
      <c r="L23" s="12">
        <f>IF(11&lt;=6,'Параметры'!B42,IF(11&lt;=12,'Параметры'!B43,'Параметры'!B44))</f>
        <v/>
      </c>
      <c r="M23" s="12">
        <f>IF(12&lt;=6,'Параметры'!B42,IF(12&lt;=12,'Параметры'!B43,'Параметры'!B44))</f>
        <v/>
      </c>
      <c r="N23" s="12">
        <f>IF(13&lt;=6,'Параметры'!B42,IF(13&lt;=12,'Параметры'!B43,'Параметры'!B44))</f>
        <v/>
      </c>
      <c r="O23" s="12">
        <f>IF(14&lt;=6,'Параметры'!B42,IF(14&lt;=12,'Параметры'!B43,'Параметры'!B44))</f>
        <v/>
      </c>
      <c r="P23" s="12">
        <f>IF(15&lt;=6,'Параметры'!B42,IF(15&lt;=12,'Параметры'!B43,'Параметры'!B44))</f>
        <v/>
      </c>
      <c r="Q23" s="12">
        <f>IF(16&lt;=6,'Параметры'!B42,IF(16&lt;=12,'Параметры'!B43,'Параметры'!B44))</f>
        <v/>
      </c>
      <c r="R23" s="12">
        <f>IF(17&lt;=6,'Параметры'!B42,IF(17&lt;=12,'Параметры'!B43,'Параметры'!B44))</f>
        <v/>
      </c>
      <c r="S23" s="12">
        <f>IF(18&lt;=6,'Параметры'!B42,IF(18&lt;=12,'Параметры'!B43,'Параметры'!B44))</f>
        <v/>
      </c>
      <c r="T23" s="12">
        <f>IF(19&lt;=6,'Параметры'!B42,IF(19&lt;=12,'Параметры'!B43,'Параметры'!B44))</f>
        <v/>
      </c>
      <c r="U23" s="12">
        <f>IF(20&lt;=6,'Параметры'!B42,IF(20&lt;=12,'Параметры'!B43,'Параметры'!B44))</f>
        <v/>
      </c>
      <c r="V23" s="12">
        <f>IF(21&lt;=6,'Параметры'!B42,IF(21&lt;=12,'Параметры'!B43,'Параметры'!B44))</f>
        <v/>
      </c>
      <c r="W23" s="12">
        <f>IF(22&lt;=6,'Параметры'!B42,IF(22&lt;=12,'Параметры'!B43,'Параметры'!B44))</f>
        <v/>
      </c>
      <c r="X23" s="12">
        <f>IF(23&lt;=6,'Параметры'!B42,IF(23&lt;=12,'Параметры'!B43,'Параметры'!B44))</f>
        <v/>
      </c>
      <c r="Y23" s="12">
        <f>IF(24&lt;=6,'Параметры'!B42,IF(24&lt;=12,'Параметры'!B43,'Параметры'!B44))</f>
        <v/>
      </c>
    </row>
    <row r="24">
      <c r="A24" s="11" t="inlineStr">
        <is>
          <t>App Store комиссия</t>
        </is>
      </c>
      <c r="B24" s="12">
        <f>ROUND(B11*'Параметры'!B45/100*'Параметры'!B46/100,0)</f>
        <v/>
      </c>
      <c r="C24" s="12">
        <f>ROUND(C11*'Параметры'!B45/100*'Параметры'!B46/100,0)</f>
        <v/>
      </c>
      <c r="D24" s="12">
        <f>ROUND(D11*'Параметры'!B45/100*'Параметры'!B46/100,0)</f>
        <v/>
      </c>
      <c r="E24" s="12">
        <f>ROUND(E11*'Параметры'!B45/100*'Параметры'!B46/100,0)</f>
        <v/>
      </c>
      <c r="F24" s="12">
        <f>ROUND(F11*'Параметры'!B45/100*'Параметры'!B46/100,0)</f>
        <v/>
      </c>
      <c r="G24" s="12">
        <f>ROUND(G11*'Параметры'!B45/100*'Параметры'!B46/100,0)</f>
        <v/>
      </c>
      <c r="H24" s="12">
        <f>ROUND(H11*'Параметры'!B45/100*'Параметры'!B46/100,0)</f>
        <v/>
      </c>
      <c r="I24" s="12">
        <f>ROUND(I11*'Параметры'!B45/100*'Параметры'!B46/100,0)</f>
        <v/>
      </c>
      <c r="J24" s="12">
        <f>ROUND(J11*'Параметры'!B45/100*'Параметры'!B46/100,0)</f>
        <v/>
      </c>
      <c r="K24" s="12">
        <f>ROUND(K11*'Параметры'!B45/100*'Параметры'!B46/100,0)</f>
        <v/>
      </c>
      <c r="L24" s="12">
        <f>ROUND(L11*'Параметры'!B45/100*'Параметры'!B46/100,0)</f>
        <v/>
      </c>
      <c r="M24" s="12">
        <f>ROUND(M11*'Параметры'!B45/100*'Параметры'!B46/100,0)</f>
        <v/>
      </c>
      <c r="N24" s="12">
        <f>ROUND(N11*'Параметры'!B45/100*'Параметры'!B46/100,0)</f>
        <v/>
      </c>
      <c r="O24" s="12">
        <f>ROUND(O11*'Параметры'!B45/100*'Параметры'!B46/100,0)</f>
        <v/>
      </c>
      <c r="P24" s="12">
        <f>ROUND(P11*'Параметры'!B45/100*'Параметры'!B46/100,0)</f>
        <v/>
      </c>
      <c r="Q24" s="12">
        <f>ROUND(Q11*'Параметры'!B45/100*'Параметры'!B46/100,0)</f>
        <v/>
      </c>
      <c r="R24" s="12">
        <f>ROUND(R11*'Параметры'!B45/100*'Параметры'!B46/100,0)</f>
        <v/>
      </c>
      <c r="S24" s="12">
        <f>ROUND(S11*'Параметры'!B45/100*'Параметры'!B46/100,0)</f>
        <v/>
      </c>
      <c r="T24" s="12">
        <f>ROUND(T11*'Параметры'!B45/100*'Параметры'!B46/100,0)</f>
        <v/>
      </c>
      <c r="U24" s="12">
        <f>ROUND(U11*'Параметры'!B45/100*'Параметры'!B46/100,0)</f>
        <v/>
      </c>
      <c r="V24" s="12">
        <f>ROUND(V11*'Параметры'!B45/100*'Параметры'!B46/100,0)</f>
        <v/>
      </c>
      <c r="W24" s="12">
        <f>ROUND(W11*'Параметры'!B45/100*'Параметры'!B46/100,0)</f>
        <v/>
      </c>
      <c r="X24" s="12">
        <f>ROUND(X11*'Параметры'!B45/100*'Параметры'!B46/100,0)</f>
        <v/>
      </c>
      <c r="Y24" s="12">
        <f>ROUND(Y11*'Параметры'!B45/100*'Параметры'!B46/100,0)</f>
        <v/>
      </c>
    </row>
    <row r="25">
      <c r="A25" s="11" t="inlineStr">
        <is>
          <t>Telegram-бот</t>
        </is>
      </c>
      <c r="B25" s="12">
        <f>IF(1&gt;=3,'Параметры'!B47,0)</f>
        <v/>
      </c>
      <c r="C25" s="12">
        <f>IF(2&gt;=3,'Параметры'!B47,0)</f>
        <v/>
      </c>
      <c r="D25" s="12">
        <f>IF(3&gt;=3,'Параметры'!B47,0)</f>
        <v/>
      </c>
      <c r="E25" s="12">
        <f>IF(4&gt;=3,'Параметры'!B47,0)</f>
        <v/>
      </c>
      <c r="F25" s="12">
        <f>IF(5&gt;=3,'Параметры'!B47,0)</f>
        <v/>
      </c>
      <c r="G25" s="12">
        <f>IF(6&gt;=3,'Параметры'!B47,0)</f>
        <v/>
      </c>
      <c r="H25" s="12">
        <f>IF(7&gt;=3,'Параметры'!B47,0)</f>
        <v/>
      </c>
      <c r="I25" s="12">
        <f>IF(8&gt;=3,'Параметры'!B47,0)</f>
        <v/>
      </c>
      <c r="J25" s="12">
        <f>IF(9&gt;=3,'Параметры'!B47,0)</f>
        <v/>
      </c>
      <c r="K25" s="12">
        <f>IF(10&gt;=3,'Параметры'!B47,0)</f>
        <v/>
      </c>
      <c r="L25" s="12">
        <f>IF(11&gt;=3,'Параметры'!B47,0)</f>
        <v/>
      </c>
      <c r="M25" s="12">
        <f>IF(12&gt;=3,'Параметры'!B47,0)</f>
        <v/>
      </c>
      <c r="N25" s="12">
        <f>IF(13&gt;=3,'Параметры'!B47,0)</f>
        <v/>
      </c>
      <c r="O25" s="12">
        <f>IF(14&gt;=3,'Параметры'!B47,0)</f>
        <v/>
      </c>
      <c r="P25" s="12">
        <f>IF(15&gt;=3,'Параметры'!B47,0)</f>
        <v/>
      </c>
      <c r="Q25" s="12">
        <f>IF(16&gt;=3,'Параметры'!B47,0)</f>
        <v/>
      </c>
      <c r="R25" s="12">
        <f>IF(17&gt;=3,'Параметры'!B47,0)</f>
        <v/>
      </c>
      <c r="S25" s="12">
        <f>IF(18&gt;=3,'Параметры'!B47,0)</f>
        <v/>
      </c>
      <c r="T25" s="12">
        <f>IF(19&gt;=3,'Параметры'!B47,0)</f>
        <v/>
      </c>
      <c r="U25" s="12">
        <f>IF(20&gt;=3,'Параметры'!B47,0)</f>
        <v/>
      </c>
      <c r="V25" s="12">
        <f>IF(21&gt;=3,'Параметры'!B47,0)</f>
        <v/>
      </c>
      <c r="W25" s="12">
        <f>IF(22&gt;=3,'Параметры'!B47,0)</f>
        <v/>
      </c>
      <c r="X25" s="12">
        <f>IF(23&gt;=3,'Параметры'!B47,0)</f>
        <v/>
      </c>
      <c r="Y25" s="12">
        <f>IF(24&gt;=3,'Параметры'!B47,0)</f>
        <v/>
      </c>
    </row>
    <row r="26">
      <c r="A26" s="14" t="inlineStr">
        <is>
          <t>ИТОГО расходы</t>
        </is>
      </c>
      <c r="B26" s="15">
        <f>SUM(B20:B25)</f>
        <v/>
      </c>
      <c r="C26" s="15">
        <f>SUM(C20:C25)</f>
        <v/>
      </c>
      <c r="D26" s="15">
        <f>SUM(D20:D25)</f>
        <v/>
      </c>
      <c r="E26" s="15">
        <f>SUM(E20:E25)</f>
        <v/>
      </c>
      <c r="F26" s="15">
        <f>SUM(F20:F25)</f>
        <v/>
      </c>
      <c r="G26" s="15">
        <f>SUM(G20:G25)</f>
        <v/>
      </c>
      <c r="H26" s="15">
        <f>SUM(H20:H25)</f>
        <v/>
      </c>
      <c r="I26" s="15">
        <f>SUM(I20:I25)</f>
        <v/>
      </c>
      <c r="J26" s="15">
        <f>SUM(J20:J25)</f>
        <v/>
      </c>
      <c r="K26" s="15">
        <f>SUM(K20:K25)</f>
        <v/>
      </c>
      <c r="L26" s="15">
        <f>SUM(L20:L25)</f>
        <v/>
      </c>
      <c r="M26" s="15">
        <f>SUM(M20:M25)</f>
        <v/>
      </c>
      <c r="N26" s="15">
        <f>SUM(N20:N25)</f>
        <v/>
      </c>
      <c r="O26" s="15">
        <f>SUM(O20:O25)</f>
        <v/>
      </c>
      <c r="P26" s="15">
        <f>SUM(P20:P25)</f>
        <v/>
      </c>
      <c r="Q26" s="15">
        <f>SUM(Q20:Q25)</f>
        <v/>
      </c>
      <c r="R26" s="15">
        <f>SUM(R20:R25)</f>
        <v/>
      </c>
      <c r="S26" s="15">
        <f>SUM(S20:S25)</f>
        <v/>
      </c>
      <c r="T26" s="15">
        <f>SUM(T20:T25)</f>
        <v/>
      </c>
      <c r="U26" s="15">
        <f>SUM(U20:U25)</f>
        <v/>
      </c>
      <c r="V26" s="15">
        <f>SUM(V20:V25)</f>
        <v/>
      </c>
      <c r="W26" s="15">
        <f>SUM(W20:W25)</f>
        <v/>
      </c>
      <c r="X26" s="15">
        <f>SUM(X20:X25)</f>
        <v/>
      </c>
      <c r="Y26" s="15">
        <f>SUM(Y20:Y25)</f>
        <v/>
      </c>
    </row>
    <row r="27">
      <c r="A27" s="13" t="inlineStr"/>
    </row>
    <row r="28">
      <c r="A28" s="14" t="inlineStr">
        <is>
          <t>P&amp;L месячный</t>
        </is>
      </c>
      <c r="B28" s="15">
        <f>B17-B26</f>
        <v/>
      </c>
      <c r="C28" s="15">
        <f>C17-C26</f>
        <v/>
      </c>
      <c r="D28" s="15">
        <f>D17-D26</f>
        <v/>
      </c>
      <c r="E28" s="15">
        <f>E17-E26</f>
        <v/>
      </c>
      <c r="F28" s="15">
        <f>F17-F26</f>
        <v/>
      </c>
      <c r="G28" s="15">
        <f>G17-G26</f>
        <v/>
      </c>
      <c r="H28" s="15">
        <f>H17-H26</f>
        <v/>
      </c>
      <c r="I28" s="15">
        <f>I17-I26</f>
        <v/>
      </c>
      <c r="J28" s="15">
        <f>J17-J26</f>
        <v/>
      </c>
      <c r="K28" s="15">
        <f>K17-K26</f>
        <v/>
      </c>
      <c r="L28" s="15">
        <f>L17-L26</f>
        <v/>
      </c>
      <c r="M28" s="15">
        <f>M17-M26</f>
        <v/>
      </c>
      <c r="N28" s="15">
        <f>N17-N26</f>
        <v/>
      </c>
      <c r="O28" s="15">
        <f>O17-O26</f>
        <v/>
      </c>
      <c r="P28" s="15">
        <f>P17-P26</f>
        <v/>
      </c>
      <c r="Q28" s="15">
        <f>Q17-Q26</f>
        <v/>
      </c>
      <c r="R28" s="15">
        <f>R17-R26</f>
        <v/>
      </c>
      <c r="S28" s="15">
        <f>S17-S26</f>
        <v/>
      </c>
      <c r="T28" s="15">
        <f>T17-T26</f>
        <v/>
      </c>
      <c r="U28" s="15">
        <f>U17-U26</f>
        <v/>
      </c>
      <c r="V28" s="15">
        <f>V17-V26</f>
        <v/>
      </c>
      <c r="W28" s="15">
        <f>W17-W26</f>
        <v/>
      </c>
      <c r="X28" s="15">
        <f>X17-X26</f>
        <v/>
      </c>
      <c r="Y28" s="15">
        <f>Y17-Y26</f>
        <v/>
      </c>
    </row>
    <row r="29">
      <c r="A29" s="16" t="inlineStr">
        <is>
          <t>P&amp;L накопленный</t>
        </is>
      </c>
      <c r="B29" s="17">
        <f>B28-'Параметры'!B6</f>
        <v/>
      </c>
      <c r="C29" s="17">
        <f>B29+C28</f>
        <v/>
      </c>
      <c r="D29" s="17">
        <f>C29+D28</f>
        <v/>
      </c>
      <c r="E29" s="17">
        <f>D29+E28</f>
        <v/>
      </c>
      <c r="F29" s="17">
        <f>E29+F28</f>
        <v/>
      </c>
      <c r="G29" s="17">
        <f>F29+G28</f>
        <v/>
      </c>
      <c r="H29" s="17">
        <f>G29+H28</f>
        <v/>
      </c>
      <c r="I29" s="17">
        <f>H29+I28</f>
        <v/>
      </c>
      <c r="J29" s="17">
        <f>I29+J28</f>
        <v/>
      </c>
      <c r="K29" s="17">
        <f>J29+K28</f>
        <v/>
      </c>
      <c r="L29" s="17">
        <f>K29+L28</f>
        <v/>
      </c>
      <c r="M29" s="17">
        <f>L29+M28</f>
        <v/>
      </c>
      <c r="N29" s="17">
        <f>M29+N28</f>
        <v/>
      </c>
      <c r="O29" s="17">
        <f>N29+O28</f>
        <v/>
      </c>
      <c r="P29" s="17">
        <f>O29+P28</f>
        <v/>
      </c>
      <c r="Q29" s="17">
        <f>P29+Q28</f>
        <v/>
      </c>
      <c r="R29" s="17">
        <f>Q29+R28</f>
        <v/>
      </c>
      <c r="S29" s="17">
        <f>R29+S28</f>
        <v/>
      </c>
      <c r="T29" s="17">
        <f>S29+T28</f>
        <v/>
      </c>
      <c r="U29" s="17">
        <f>T29+U28</f>
        <v/>
      </c>
      <c r="V29" s="17">
        <f>U29+V28</f>
        <v/>
      </c>
      <c r="W29" s="17">
        <f>V29+W28</f>
        <v/>
      </c>
      <c r="X29" s="17">
        <f>W29+X28</f>
        <v/>
      </c>
      <c r="Y29" s="17">
        <f>X29+Y28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</cols>
  <sheetData>
    <row r="1">
      <c r="A1" s="1" t="inlineStr">
        <is>
          <t>Unit-экономика EVA</t>
        </is>
      </c>
    </row>
    <row r="3">
      <c r="A3" s="18" t="inlineStr">
        <is>
          <t>Метрика</t>
        </is>
      </c>
      <c r="B3" s="18" t="inlineStr">
        <is>
          <t>Значение</t>
        </is>
      </c>
      <c r="C3" s="18" t="inlineStr">
        <is>
          <t>Комментарий</t>
        </is>
      </c>
    </row>
    <row r="4">
      <c r="A4" s="11" t="inlineStr">
        <is>
          <t>ARPU средний/мес</t>
        </is>
      </c>
      <c r="B4" s="19">
        <f>'Параметры'!B10*(1-'Параметры'!B12/100)+'Параметры'!B11/12*'Параметры'!B12/100</f>
        <v/>
      </c>
      <c r="C4" s="20" t="inlineStr">
        <is>
          <t>Микс тарифов</t>
        </is>
      </c>
    </row>
    <row r="5">
      <c r="A5" s="11" t="inlineStr">
        <is>
          <t>CAC</t>
        </is>
      </c>
      <c r="B5" s="19">
        <f>'Параметры'!B15</f>
        <v/>
      </c>
      <c r="C5" s="20" t="inlineStr"/>
    </row>
    <row r="6">
      <c r="A6" s="11" t="inlineStr">
        <is>
          <t>Churn месячный</t>
        </is>
      </c>
      <c r="B6" s="19">
        <f>'Параметры'!B23/100</f>
        <v/>
      </c>
      <c r="C6" s="20" t="inlineStr"/>
    </row>
    <row r="7">
      <c r="A7" s="11" t="inlineStr">
        <is>
          <t>Срок жизни, мес</t>
        </is>
      </c>
      <c r="B7" s="19">
        <f>1/('Параметры'!B23/100)</f>
        <v/>
      </c>
      <c r="C7" s="20" t="inlineStr">
        <is>
          <t>1/churn</t>
        </is>
      </c>
    </row>
    <row r="8">
      <c r="A8" s="11" t="inlineStr">
        <is>
          <t>LTV</t>
        </is>
      </c>
      <c r="B8" s="19">
        <f>B4*B7</f>
        <v/>
      </c>
      <c r="C8" s="20" t="inlineStr">
        <is>
          <t>ARPU * срок жизни</t>
        </is>
      </c>
    </row>
    <row r="9">
      <c r="A9" s="11" t="inlineStr">
        <is>
          <t>LTV / CAC</t>
        </is>
      </c>
      <c r="B9" s="19">
        <f>B8/B5</f>
        <v/>
      </c>
      <c r="C9" s="20" t="inlineStr">
        <is>
          <t>Целевой: &gt;3x</t>
        </is>
      </c>
    </row>
    <row r="10">
      <c r="A10" s="11" t="inlineStr">
        <is>
          <t>Payback, мес</t>
        </is>
      </c>
      <c r="B10" s="19">
        <f>B5/B4</f>
        <v/>
      </c>
      <c r="C10" s="20" t="inlineStr">
        <is>
          <t>CAC / ARPU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Сводные показатели</t>
        </is>
      </c>
    </row>
    <row r="3">
      <c r="A3" s="14" t="inlineStr">
        <is>
          <t>Инвестиции</t>
        </is>
      </c>
      <c r="B3" s="21">
        <f>'Параметры'!B6</f>
        <v/>
      </c>
    </row>
    <row r="4">
      <c r="A4" s="14" t="inlineStr">
        <is>
          <t>Пользователей мес 24</t>
        </is>
      </c>
      <c r="B4" s="21">
        <f>'P&amp;L помесячный'!Y6</f>
        <v/>
      </c>
    </row>
    <row r="5">
      <c r="A5" s="14" t="inlineStr">
        <is>
          <t>EVA+ подписчиков мес 24</t>
        </is>
      </c>
      <c r="B5" s="21">
        <f>'P&amp;L помесячный'!Y7</f>
        <v/>
      </c>
    </row>
    <row r="6">
      <c r="A6" s="14" t="inlineStr">
        <is>
          <t>Выручка мес 24</t>
        </is>
      </c>
      <c r="B6" s="21">
        <f>'P&amp;L помесячный'!Y17</f>
        <v/>
      </c>
    </row>
    <row r="7">
      <c r="A7" s="14" t="inlineStr">
        <is>
          <t>P&amp;L накопл. мес 24</t>
        </is>
      </c>
      <c r="B7" s="21">
        <f>'P&amp;L помесячный'!Y29</f>
        <v/>
      </c>
    </row>
    <row r="8">
      <c r="A8" s="14" t="inlineStr">
        <is>
          <t>ROI мес 24</t>
        </is>
      </c>
      <c r="B8" s="22">
        <f>'P&amp;L помесячный'!Y29/'Параметры'!B6</f>
        <v/>
      </c>
    </row>
    <row r="9">
      <c r="A9" s="14" t="inlineStr">
        <is>
          <t>LTV / CAC</t>
        </is>
      </c>
      <c r="B9" s="23">
        <f>'Unit-экономика'!B9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2026-06-22T18:57:13Z</dcterms:created>
  <dcterms:modified xsi:type="dcterms:W3CDTF">2026-06-22T18:57:13Z</dcterms:modified>
</cp:coreProperties>
</file>